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DSAREA Data Analyst\Day - 2\"/>
    </mc:Choice>
  </mc:AlternateContent>
  <xr:revisionPtr revIDLastSave="0" documentId="8_{AE09598C-840E-4A2A-A9C8-8FC81E01EFF9}" xr6:coauthVersionLast="43" xr6:coauthVersionMax="43" xr10:uidLastSave="{00000000-0000-0000-0000-000000000000}"/>
  <bookViews>
    <workbookView xWindow="-120" yWindow="-120" windowWidth="20730" windowHeight="11160" firstSheet="1" activeTab="3" xr2:uid="{39F4CE53-654F-4521-AE14-C260B7158341}"/>
  </bookViews>
  <sheets>
    <sheet name="VLOOKUP &amp; HLOOKUP" sheetId="1" r:id="rId1"/>
    <sheet name="VLOOKUP INDEX MATCH" sheetId="2" r:id="rId2"/>
    <sheet name="VLOOKUP LEFT, MID, RIGHT" sheetId="3" r:id="rId3"/>
    <sheet name="HLOOKUP LEFT, MID, RIGH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13" i="4" l="1"/>
  <c r="C13" i="4"/>
  <c r="B13" i="4"/>
  <c r="D12" i="4"/>
  <c r="C12" i="4"/>
  <c r="B12" i="4"/>
  <c r="D11" i="4"/>
  <c r="C11" i="4"/>
  <c r="B11" i="4"/>
  <c r="D10" i="4"/>
  <c r="C10" i="4"/>
  <c r="B10" i="4"/>
  <c r="D9" i="4"/>
  <c r="C9" i="4"/>
  <c r="B9" i="4"/>
  <c r="D8" i="4"/>
  <c r="C8" i="4"/>
  <c r="B8" i="4"/>
  <c r="D7" i="4"/>
  <c r="C7" i="4"/>
  <c r="B7" i="4"/>
  <c r="D6" i="4"/>
  <c r="C6" i="4"/>
  <c r="B6" i="4"/>
  <c r="D5" i="4"/>
  <c r="C5" i="4"/>
  <c r="B5" i="4"/>
  <c r="D4" i="4"/>
  <c r="C4" i="4"/>
  <c r="B4" i="4"/>
  <c r="D10" i="3"/>
  <c r="C10" i="3"/>
  <c r="B10" i="3"/>
  <c r="D9" i="3"/>
  <c r="C9" i="3"/>
  <c r="B9" i="3"/>
  <c r="D8" i="3"/>
  <c r="C8" i="3"/>
  <c r="B8" i="3"/>
  <c r="D7" i="3"/>
  <c r="C7" i="3"/>
  <c r="B7" i="3"/>
  <c r="D6" i="3"/>
  <c r="C6" i="3"/>
  <c r="B6" i="3"/>
  <c r="D5" i="3"/>
  <c r="C5" i="3"/>
  <c r="B5" i="3"/>
  <c r="D4" i="3"/>
  <c r="C4" i="3"/>
  <c r="B4" i="3"/>
  <c r="D3" i="3"/>
  <c r="C3" i="3"/>
  <c r="B3" i="3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12" i="1"/>
  <c r="E12" i="1" s="1"/>
  <c r="C12" i="1"/>
  <c r="D11" i="1"/>
  <c r="E11" i="1" s="1"/>
  <c r="C11" i="1"/>
  <c r="D10" i="1"/>
  <c r="E10" i="1" s="1"/>
  <c r="C10" i="1"/>
  <c r="D9" i="1"/>
  <c r="E9" i="1" s="1"/>
  <c r="C9" i="1"/>
  <c r="D8" i="1"/>
  <c r="E8" i="1" s="1"/>
  <c r="C8" i="1"/>
  <c r="E7" i="1"/>
  <c r="D7" i="1"/>
  <c r="C7" i="1"/>
  <c r="D6" i="1"/>
  <c r="E6" i="1" s="1"/>
  <c r="C6" i="1"/>
  <c r="D5" i="1"/>
  <c r="E5" i="1" s="1"/>
  <c r="C5" i="1"/>
  <c r="D4" i="1"/>
  <c r="E4" i="1" s="1"/>
  <c r="C4" i="1"/>
  <c r="E3" i="1"/>
  <c r="D3" i="1"/>
  <c r="C3" i="1"/>
</calcChain>
</file>

<file path=xl/sharedStrings.xml><?xml version="1.0" encoding="utf-8"?>
<sst xmlns="http://schemas.openxmlformats.org/spreadsheetml/2006/main" count="152" uniqueCount="82">
  <si>
    <t>Tanggal Pemesanan</t>
  </si>
  <si>
    <t>No. Pemesanan</t>
  </si>
  <si>
    <t>Nama Customer</t>
  </si>
  <si>
    <t>Domisili</t>
  </si>
  <si>
    <t>Lama Pengiriman</t>
  </si>
  <si>
    <t>Jenis Kelamin</t>
  </si>
  <si>
    <t>Andi</t>
  </si>
  <si>
    <t>Laki-laki</t>
  </si>
  <si>
    <t>Bandung</t>
  </si>
  <si>
    <t>Budi</t>
  </si>
  <si>
    <t>Jakarta</t>
  </si>
  <si>
    <t>Clara</t>
  </si>
  <si>
    <t>Perempuan</t>
  </si>
  <si>
    <t>Palembang</t>
  </si>
  <si>
    <t>Dewi</t>
  </si>
  <si>
    <t>Surabaya</t>
  </si>
  <si>
    <t>Eko</t>
  </si>
  <si>
    <t>Fiona</t>
  </si>
  <si>
    <t>Gina</t>
  </si>
  <si>
    <t>Hesti</t>
  </si>
  <si>
    <t>Igna</t>
  </si>
  <si>
    <t>Juned</t>
  </si>
  <si>
    <t>Kota</t>
  </si>
  <si>
    <t>1 Hari</t>
  </si>
  <si>
    <t>2 Hari</t>
  </si>
  <si>
    <t>3 Hari</t>
  </si>
  <si>
    <t>KODE</t>
  </si>
  <si>
    <t>NAMA BARANG</t>
  </si>
  <si>
    <t>Harga Barang</t>
  </si>
  <si>
    <t>STOK</t>
  </si>
  <si>
    <t>KPS-2001K-20L</t>
  </si>
  <si>
    <t>TVL-2002K-21L</t>
  </si>
  <si>
    <t>LTP-2003K-22L</t>
  </si>
  <si>
    <t>Tabel Barang</t>
  </si>
  <si>
    <t>Kode Barang</t>
  </si>
  <si>
    <t>Nama Barang</t>
  </si>
  <si>
    <t>Harga Satuan</t>
  </si>
  <si>
    <t>20L</t>
  </si>
  <si>
    <t>KPS</t>
  </si>
  <si>
    <t>Kipas Angin</t>
  </si>
  <si>
    <t>2001K</t>
  </si>
  <si>
    <t>21L</t>
  </si>
  <si>
    <t>TVL</t>
  </si>
  <si>
    <t>TV LCD</t>
  </si>
  <si>
    <t>2002K</t>
  </si>
  <si>
    <t>22L</t>
  </si>
  <si>
    <t>LTP</t>
  </si>
  <si>
    <t>LAPTOP</t>
  </si>
  <si>
    <t>2003K</t>
  </si>
  <si>
    <t>HARGA</t>
  </si>
  <si>
    <t>Status</t>
  </si>
  <si>
    <t>Seri dan nama barang</t>
  </si>
  <si>
    <t>RA1500KDISC</t>
  </si>
  <si>
    <t>RA15</t>
  </si>
  <si>
    <t>RA16</t>
  </si>
  <si>
    <t>RA17</t>
  </si>
  <si>
    <t>RA18</t>
  </si>
  <si>
    <t>RA19</t>
  </si>
  <si>
    <t>RA1600KDISC</t>
  </si>
  <si>
    <t>RAM TYPE 5</t>
  </si>
  <si>
    <t>RAM TYPE 6</t>
  </si>
  <si>
    <t>RAM TYPE 7</t>
  </si>
  <si>
    <t>RAM TYPE 8</t>
  </si>
  <si>
    <t>RAM TYPE 9</t>
  </si>
  <si>
    <t>RA1700KDISC</t>
  </si>
  <si>
    <t>RA1800KDISC</t>
  </si>
  <si>
    <t>Harga dan Status Harga</t>
  </si>
  <si>
    <t>RA1900KDISC</t>
  </si>
  <si>
    <t>1500K</t>
  </si>
  <si>
    <t>1600K</t>
  </si>
  <si>
    <t>1700K</t>
  </si>
  <si>
    <t>1800k</t>
  </si>
  <si>
    <t>1900k</t>
  </si>
  <si>
    <t>DISC</t>
  </si>
  <si>
    <t>NDIS</t>
  </si>
  <si>
    <t>RA1500KNDIS</t>
  </si>
  <si>
    <t>DISCOUNT</t>
  </si>
  <si>
    <t>NO DISCOUNT</t>
  </si>
  <si>
    <t>RA1600KNDIS</t>
  </si>
  <si>
    <t>RA1700KNDIS</t>
  </si>
  <si>
    <t>RA1800KNDIS</t>
  </si>
  <si>
    <t>RA1900KNDIS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</si>
</sst>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_-[$Rp-421]* #,##0_-;\-[$Rp-421]* #,##0_-;_-[$Rp-421]* &quot;-&quot;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0" borderId="0" xfId="0" applyFont="1"/>
    <xf numFmtId="0" fontId="1" fillId="3" borderId="1" xfId="0" applyFont="1" applyFill="1" applyBorder="1"/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247651</xdr:colOff>
      <xdr:row>2</xdr:row>
      <xdr:rowOff>0</xdr:rowOff>
    </xdr:from>
    <xdr:to>
      <xdr:col>15</xdr:col>
      <xdr:colOff>1</xdr:colOff>
      <xdr:row>5</xdr:row>
      <xdr:rowOff>57150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94C8442-D872-48AD-B102-A46DEA0BCC6A}"/>
            </a:ext>
          </a:extLst>
        </xdr:cNvPr>
        <xdr:cNvSpPr/>
      </xdr:nvSpPr>
      <xdr:spPr>
        <a:xfrm>
          <a:off x="9001126" y="381000"/>
          <a:ext cx="2800350" cy="62865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100">
              <a:solidFill>
                <a:schemeClr val="bg1"/>
              </a:solidFill>
            </a:rPr>
            <a:t>Tabel</a:t>
          </a:r>
          <a:r>
            <a:rPr lang="en-ID" sz="1100" baseline="0">
              <a:solidFill>
                <a:schemeClr val="bg1"/>
              </a:solidFill>
            </a:rPr>
            <a:t> referensi ada di paling kiri tidak bisa digunakan pada vlookup biasa</a:t>
          </a:r>
          <a:endParaRPr lang="en-ID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228601</xdr:colOff>
      <xdr:row>5</xdr:row>
      <xdr:rowOff>152400</xdr:rowOff>
    </xdr:from>
    <xdr:to>
      <xdr:col>14</xdr:col>
      <xdr:colOff>590551</xdr:colOff>
      <xdr:row>7</xdr:row>
      <xdr:rowOff>66675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3B5DCBB-6D6F-4A06-BF56-0E761A300C0E}"/>
            </a:ext>
          </a:extLst>
        </xdr:cNvPr>
        <xdr:cNvSpPr/>
      </xdr:nvSpPr>
      <xdr:spPr>
        <a:xfrm>
          <a:off x="8982076" y="1104900"/>
          <a:ext cx="2800350" cy="295275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100">
              <a:solidFill>
                <a:schemeClr val="bg1"/>
              </a:solidFill>
            </a:rPr>
            <a:t>ARRAY = Tabel</a:t>
          </a:r>
          <a:r>
            <a:rPr lang="en-ID" sz="1100" baseline="0">
              <a:solidFill>
                <a:schemeClr val="bg1"/>
              </a:solidFill>
            </a:rPr>
            <a:t> referensi</a:t>
          </a:r>
        </a:p>
        <a:p>
          <a:pPr algn="l"/>
          <a:r>
            <a:rPr lang="en-ID" sz="1100" baseline="0">
              <a:solidFill>
                <a:schemeClr val="bg1"/>
              </a:solidFill>
            </a:rPr>
            <a:t> </a:t>
          </a:r>
          <a:endParaRPr lang="en-ID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219075</xdr:colOff>
      <xdr:row>7</xdr:row>
      <xdr:rowOff>133350</xdr:rowOff>
    </xdr:from>
    <xdr:to>
      <xdr:col>15</xdr:col>
      <xdr:colOff>485774</xdr:colOff>
      <xdr:row>9</xdr:row>
      <xdr:rowOff>38100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BA30C84-8F00-4FF7-A18E-BC9736E58CAD}"/>
            </a:ext>
          </a:extLst>
        </xdr:cNvPr>
        <xdr:cNvSpPr/>
      </xdr:nvSpPr>
      <xdr:spPr>
        <a:xfrm>
          <a:off x="8972550" y="1466850"/>
          <a:ext cx="3314699" cy="28575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100">
              <a:solidFill>
                <a:schemeClr val="bg1"/>
              </a:solidFill>
            </a:rPr>
            <a:t>=INDEX($G$3:$J$13;MATCH(B6;$J$3:$J$13;0);1)</a:t>
          </a:r>
          <a:r>
            <a:rPr lang="en-ID" sz="1100" baseline="0">
              <a:solidFill>
                <a:schemeClr val="bg1"/>
              </a:solidFill>
            </a:rPr>
            <a:t> </a:t>
          </a:r>
          <a:endParaRPr lang="en-ID" sz="1100"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180975</xdr:rowOff>
    </xdr:from>
    <xdr:to>
      <xdr:col>8</xdr:col>
      <xdr:colOff>295275</xdr:colOff>
      <xdr:row>5</xdr:row>
      <xdr:rowOff>19050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8D84DF6-4163-4F05-89FC-0DEA8493B98D}"/>
            </a:ext>
          </a:extLst>
        </xdr:cNvPr>
        <xdr:cNvSpPr/>
      </xdr:nvSpPr>
      <xdr:spPr>
        <a:xfrm>
          <a:off x="4562475" y="180975"/>
          <a:ext cx="2371725" cy="790575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100">
              <a:solidFill>
                <a:sysClr val="windowText" lastClr="000000"/>
              </a:solidFill>
            </a:rPr>
            <a:t>=Vlookup</a:t>
          </a:r>
          <a:r>
            <a:rPr lang="en-ID" sz="1100" baseline="0">
              <a:solidFill>
                <a:schemeClr val="bg1"/>
              </a:solidFill>
            </a:rPr>
            <a:t> digunakan untuk mencari value dari sebuah data yang bersumber dari data lain dengan tabel vertikal</a:t>
          </a:r>
          <a:endParaRPr lang="en-ID" sz="11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0</xdr:colOff>
      <xdr:row>0</xdr:row>
      <xdr:rowOff>180975</xdr:rowOff>
    </xdr:from>
    <xdr:to>
      <xdr:col>12</xdr:col>
      <xdr:colOff>542925</xdr:colOff>
      <xdr:row>5</xdr:row>
      <xdr:rowOff>38100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2B74797-0364-45FA-AFE0-F3FADC989DB5}"/>
            </a:ext>
          </a:extLst>
        </xdr:cNvPr>
        <xdr:cNvSpPr/>
      </xdr:nvSpPr>
      <xdr:spPr>
        <a:xfrm>
          <a:off x="7248525" y="180975"/>
          <a:ext cx="2371725" cy="809625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Lookup value</a:t>
          </a:r>
          <a:r>
            <a:rPr lang="en-ID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= </a:t>
          </a:r>
          <a:r>
            <a:rPr lang="en-ID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value</a:t>
          </a:r>
          <a:r>
            <a:rPr lang="en-ID"/>
            <a:t> </a:t>
          </a:r>
          <a:r>
            <a:rPr lang="en-ID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kriteria</a:t>
          </a:r>
          <a:r>
            <a:rPr lang="en-ID"/>
            <a:t> </a:t>
          </a:r>
        </a:p>
        <a:p>
          <a:pPr algn="l"/>
          <a:r>
            <a:rPr lang="en-ID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Tabble array</a:t>
          </a:r>
          <a:r>
            <a:rPr lang="en-ID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= </a:t>
          </a:r>
          <a:r>
            <a:rPr lang="en-ID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array</a:t>
          </a:r>
          <a:r>
            <a:rPr lang="en-ID"/>
            <a:t> </a:t>
          </a:r>
          <a:r>
            <a:rPr lang="en-ID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tabel referensi</a:t>
          </a:r>
          <a:r>
            <a:rPr lang="en-ID"/>
            <a:t> </a:t>
          </a:r>
          <a:r>
            <a:rPr lang="en-ID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col index num</a:t>
          </a:r>
          <a:r>
            <a:rPr lang="en-ID">
              <a:solidFill>
                <a:schemeClr val="tx1"/>
              </a:solidFill>
            </a:rPr>
            <a:t> = </a:t>
          </a:r>
          <a:r>
            <a:rPr lang="en-ID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nomor index kolom</a:t>
          </a:r>
          <a:r>
            <a:rPr lang="en-ID"/>
            <a:t> </a:t>
          </a:r>
          <a:r>
            <a:rPr lang="en-ID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range_lookup =</a:t>
          </a:r>
          <a:r>
            <a:rPr lang="en-ID">
              <a:solidFill>
                <a:schemeClr val="tx1"/>
              </a:solidFill>
            </a:rPr>
            <a:t> </a:t>
          </a:r>
          <a:r>
            <a:rPr lang="en-ID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cara mengambil data</a:t>
          </a:r>
          <a:r>
            <a:rPr lang="en-ID"/>
            <a:t> </a:t>
          </a:r>
          <a:endParaRPr lang="en-ID" sz="1100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9525</xdr:colOff>
      <xdr:row>0</xdr:row>
      <xdr:rowOff>180976</xdr:rowOff>
    </xdr:from>
    <xdr:to>
      <xdr:col>18</xdr:col>
      <xdr:colOff>238125</xdr:colOff>
      <xdr:row>5</xdr:row>
      <xdr:rowOff>9526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DD27DC6-02E6-4258-84AA-5720C816F308}"/>
            </a:ext>
          </a:extLst>
        </xdr:cNvPr>
        <xdr:cNvSpPr/>
      </xdr:nvSpPr>
      <xdr:spPr>
        <a:xfrm>
          <a:off x="9696450" y="180976"/>
          <a:ext cx="3276600" cy="78105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kreteria ini huruf kanan kiri atau tengah</a:t>
          </a:r>
        </a:p>
        <a:p>
          <a:pPr algn="l"/>
          <a:r>
            <a:rPr lang="en-ID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tabel yang dicari apa</a:t>
          </a:r>
          <a:r>
            <a:rPr lang="en-ID"/>
            <a:t> </a:t>
          </a:r>
        </a:p>
        <a:p>
          <a:pPr algn="l"/>
          <a:r>
            <a:rPr lang="en-ID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jumlah tabel atau tabel keberapa yang mau dipakai </a:t>
          </a:r>
          <a:r>
            <a:rPr lang="en-ID"/>
            <a:t> </a:t>
          </a:r>
          <a:r>
            <a:rPr lang="en-ID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gunakan 0 saja</a:t>
          </a:r>
          <a:r>
            <a:rPr lang="en-ID"/>
            <a:t> </a:t>
          </a:r>
          <a:endParaRPr lang="en-ID" sz="11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19050</xdr:colOff>
      <xdr:row>5</xdr:row>
      <xdr:rowOff>180976</xdr:rowOff>
    </xdr:from>
    <xdr:to>
      <xdr:col>14</xdr:col>
      <xdr:colOff>247650</xdr:colOff>
      <xdr:row>9</xdr:row>
      <xdr:rowOff>95250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9B14ADB-7E3A-426F-9BC6-BEF7DCD3E1C4}"/>
            </a:ext>
          </a:extLst>
        </xdr:cNvPr>
        <xdr:cNvSpPr/>
      </xdr:nvSpPr>
      <xdr:spPr>
        <a:xfrm>
          <a:off x="7267575" y="1133476"/>
          <a:ext cx="3276600" cy="676274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left</a:t>
          </a:r>
          <a:r>
            <a:rPr lang="en-ID"/>
            <a:t> = </a:t>
          </a:r>
          <a:r>
            <a:rPr lang="en-ID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mengambil karakter dari kiri</a:t>
          </a:r>
          <a:r>
            <a:rPr lang="en-ID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l"/>
          <a:r>
            <a:rPr lang="en-ID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mid = </a:t>
          </a:r>
          <a:r>
            <a:rPr lang="en-ID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mengambil karakter dari tengah</a:t>
          </a:r>
          <a:r>
            <a:rPr lang="en-ID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l"/>
          <a:r>
            <a:rPr lang="en-ID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right =</a:t>
          </a:r>
          <a:r>
            <a:rPr lang="en-ID"/>
            <a:t> </a:t>
          </a:r>
          <a:r>
            <a:rPr lang="en-ID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mengambil dari kanan</a:t>
          </a:r>
          <a:r>
            <a:rPr lang="en-ID"/>
            <a:t> </a:t>
          </a:r>
          <a:endParaRPr lang="en-ID" sz="1100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1</xdr:colOff>
      <xdr:row>5</xdr:row>
      <xdr:rowOff>104776</xdr:rowOff>
    </xdr:from>
    <xdr:to>
      <xdr:col>7</xdr:col>
      <xdr:colOff>647700</xdr:colOff>
      <xdr:row>6</xdr:row>
      <xdr:rowOff>180976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A511272-7A75-4621-9B23-7B3F175FB8BF}"/>
            </a:ext>
          </a:extLst>
        </xdr:cNvPr>
        <xdr:cNvSpPr/>
      </xdr:nvSpPr>
      <xdr:spPr>
        <a:xfrm>
          <a:off x="4562476" y="1057276"/>
          <a:ext cx="1866899" cy="26670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100">
              <a:solidFill>
                <a:sysClr val="windowText" lastClr="000000"/>
              </a:solidFill>
            </a:rPr>
            <a:t>=Vlookup</a:t>
          </a:r>
          <a:r>
            <a:rPr lang="en-ID" sz="1100" baseline="0">
              <a:solidFill>
                <a:schemeClr val="bg1"/>
              </a:solidFill>
            </a:rPr>
            <a:t> + LEFT/MID/RIGHT</a:t>
          </a:r>
          <a:endParaRPr lang="en-ID" sz="1100">
            <a:solidFill>
              <a:schemeClr val="bg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590550</xdr:colOff>
      <xdr:row>10</xdr:row>
      <xdr:rowOff>180975</xdr:rowOff>
    </xdr:from>
    <xdr:to>
      <xdr:col>8</xdr:col>
      <xdr:colOff>638175</xdr:colOff>
      <xdr:row>15</xdr:row>
      <xdr:rowOff>19050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FB779E2-92BD-4726-B531-7AD75C46F439}"/>
            </a:ext>
          </a:extLst>
        </xdr:cNvPr>
        <xdr:cNvSpPr/>
      </xdr:nvSpPr>
      <xdr:spPr>
        <a:xfrm>
          <a:off x="4800600" y="2085975"/>
          <a:ext cx="2371725" cy="790575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100">
              <a:solidFill>
                <a:sysClr val="windowText" lastClr="000000"/>
              </a:solidFill>
            </a:rPr>
            <a:t>=Hlookup</a:t>
          </a:r>
          <a:r>
            <a:rPr lang="en-ID" sz="1100" baseline="0">
              <a:solidFill>
                <a:schemeClr val="bg1"/>
              </a:solidFill>
            </a:rPr>
            <a:t> digunakan untuk mencari value dari sebuah data yang bersumber dari data lain dengan tabel horizontal</a:t>
          </a:r>
          <a:endParaRPr lang="en-ID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0</xdr:colOff>
      <xdr:row>15</xdr:row>
      <xdr:rowOff>171450</xdr:rowOff>
    </xdr:from>
    <xdr:to>
      <xdr:col>8</xdr:col>
      <xdr:colOff>152399</xdr:colOff>
      <xdr:row>17</xdr:row>
      <xdr:rowOff>57150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82966C2-6E4A-4547-B428-C538023AE6A9}"/>
            </a:ext>
          </a:extLst>
        </xdr:cNvPr>
        <xdr:cNvSpPr/>
      </xdr:nvSpPr>
      <xdr:spPr>
        <a:xfrm>
          <a:off x="4819650" y="3028950"/>
          <a:ext cx="1866899" cy="26670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100">
              <a:solidFill>
                <a:sysClr val="windowText" lastClr="000000"/>
              </a:solidFill>
            </a:rPr>
            <a:t>=Hlookup</a:t>
          </a:r>
          <a:r>
            <a:rPr lang="en-ID" sz="1100" baseline="0">
              <a:solidFill>
                <a:schemeClr val="bg1"/>
              </a:solidFill>
            </a:rPr>
            <a:t> + LEFT/MID/RIGHT</a:t>
          </a:r>
          <a:endParaRPr lang="en-ID" sz="1100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2D64D-2D10-452F-BDB7-8C8315D06D46}">
  <dimension ref="A2:L16"/>
  <sheetViews>
    <sheetView workbookViewId="0">
      <selection sqref="A1:XFD1048576"/>
    </sheetView>
  </sheetViews>
  <sheetFormatPr defaultRowHeight="15" x14ac:dyDescent="0.25"/>
  <cols>
    <col min="1" max="1" width="18.7109375" bestFit="1" customWidth="1"/>
    <col min="2" max="2" width="15" bestFit="1" customWidth="1"/>
    <col min="3" max="3" width="15.28515625" bestFit="1" customWidth="1"/>
    <col min="4" max="4" width="14.5703125" customWidth="1"/>
    <col min="5" max="5" width="16.28515625" bestFit="1" customWidth="1"/>
    <col min="8" max="8" width="16.28515625" bestFit="1" customWidth="1"/>
    <col min="9" max="9" width="15.28515625" bestFit="1" customWidth="1"/>
    <col min="10" max="10" width="13.28515625" bestFit="1" customWidth="1"/>
    <col min="11" max="11" width="10.85546875" bestFit="1" customWidth="1"/>
    <col min="12" max="12" width="9" bestFit="1" customWidth="1"/>
  </cols>
  <sheetData>
    <row r="2" spans="1:12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H2" s="1" t="s">
        <v>1</v>
      </c>
      <c r="I2" s="1" t="s">
        <v>2</v>
      </c>
      <c r="J2" s="1" t="s">
        <v>5</v>
      </c>
      <c r="K2" s="1" t="s">
        <v>3</v>
      </c>
    </row>
    <row r="3" spans="1:12" x14ac:dyDescent="0.25">
      <c r="A3" s="2">
        <v>44261</v>
      </c>
      <c r="B3" s="3">
        <v>106</v>
      </c>
      <c r="C3" s="4" t="str">
        <f>VLOOKUP(B3,$H$3:$K$12,2,0)</f>
        <v>Fiona</v>
      </c>
      <c r="D3" s="4" t="str">
        <f>VLOOKUP(B3,$H$3:$K$12,4,0)</f>
        <v>Palembang</v>
      </c>
      <c r="E3" s="4" t="str">
        <f>HLOOKUP(D3,$H$15:$L$16,2,0)</f>
        <v>2 Hari</v>
      </c>
      <c r="H3" s="3">
        <v>101</v>
      </c>
      <c r="I3" s="5" t="s">
        <v>6</v>
      </c>
      <c r="J3" s="5" t="s">
        <v>7</v>
      </c>
      <c r="K3" s="5" t="s">
        <v>8</v>
      </c>
    </row>
    <row r="4" spans="1:12" x14ac:dyDescent="0.25">
      <c r="A4" s="2">
        <v>44257</v>
      </c>
      <c r="B4" s="3">
        <v>102</v>
      </c>
      <c r="C4" s="4" t="str">
        <f t="shared" ref="C4:C12" si="0">VLOOKUP(B4,$H$3:$K$12,2,0)</f>
        <v>Budi</v>
      </c>
      <c r="D4" s="4" t="str">
        <f t="shared" ref="D4:D12" si="1">VLOOKUP(B4,$H$3:$K$12,4,0)</f>
        <v>Jakarta</v>
      </c>
      <c r="E4" s="4" t="str">
        <f t="shared" ref="E4:E12" si="2">HLOOKUP(D4,$H$15:$L$16,2,0)</f>
        <v>1 Hari</v>
      </c>
      <c r="H4" s="3">
        <v>102</v>
      </c>
      <c r="I4" s="5" t="s">
        <v>9</v>
      </c>
      <c r="J4" s="5" t="s">
        <v>7</v>
      </c>
      <c r="K4" s="5" t="s">
        <v>10</v>
      </c>
    </row>
    <row r="5" spans="1:12" x14ac:dyDescent="0.25">
      <c r="A5" s="2">
        <v>44259</v>
      </c>
      <c r="B5" s="3">
        <v>104</v>
      </c>
      <c r="C5" s="4" t="str">
        <f t="shared" si="0"/>
        <v>Dewi</v>
      </c>
      <c r="D5" s="4" t="str">
        <f t="shared" si="1"/>
        <v>Surabaya</v>
      </c>
      <c r="E5" s="4" t="str">
        <f t="shared" si="2"/>
        <v>3 Hari</v>
      </c>
      <c r="H5" s="3">
        <v>103</v>
      </c>
      <c r="I5" s="5" t="s">
        <v>11</v>
      </c>
      <c r="J5" s="5" t="s">
        <v>12</v>
      </c>
      <c r="K5" s="5" t="s">
        <v>13</v>
      </c>
    </row>
    <row r="6" spans="1:12" x14ac:dyDescent="0.25">
      <c r="A6" s="2">
        <v>44260</v>
      </c>
      <c r="B6" s="3">
        <v>105</v>
      </c>
      <c r="C6" s="4" t="str">
        <f t="shared" si="0"/>
        <v>Eko</v>
      </c>
      <c r="D6" s="4" t="str">
        <f t="shared" si="1"/>
        <v>Jakarta</v>
      </c>
      <c r="E6" s="4" t="str">
        <f t="shared" si="2"/>
        <v>1 Hari</v>
      </c>
      <c r="H6" s="3">
        <v>104</v>
      </c>
      <c r="I6" s="5" t="s">
        <v>14</v>
      </c>
      <c r="J6" s="5" t="s">
        <v>12</v>
      </c>
      <c r="K6" s="5" t="s">
        <v>15</v>
      </c>
    </row>
    <row r="7" spans="1:12" x14ac:dyDescent="0.25">
      <c r="A7" s="2">
        <v>44265</v>
      </c>
      <c r="B7" s="3">
        <v>110</v>
      </c>
      <c r="C7" s="4" t="str">
        <f t="shared" si="0"/>
        <v>Juned</v>
      </c>
      <c r="D7" s="4" t="str">
        <f t="shared" si="1"/>
        <v>Bandung</v>
      </c>
      <c r="E7" s="4" t="str">
        <f t="shared" si="2"/>
        <v>2 Hari</v>
      </c>
      <c r="H7" s="3">
        <v>105</v>
      </c>
      <c r="I7" s="5" t="s">
        <v>16</v>
      </c>
      <c r="J7" s="5" t="s">
        <v>7</v>
      </c>
      <c r="K7" s="5" t="s">
        <v>10</v>
      </c>
    </row>
    <row r="8" spans="1:12" x14ac:dyDescent="0.25">
      <c r="A8" s="2">
        <v>44258</v>
      </c>
      <c r="B8" s="3">
        <v>103</v>
      </c>
      <c r="C8" s="4" t="str">
        <f t="shared" si="0"/>
        <v>Clara</v>
      </c>
      <c r="D8" s="4" t="str">
        <f t="shared" si="1"/>
        <v>Palembang</v>
      </c>
      <c r="E8" s="4" t="str">
        <f t="shared" si="2"/>
        <v>2 Hari</v>
      </c>
      <c r="H8" s="3">
        <v>106</v>
      </c>
      <c r="I8" s="5" t="s">
        <v>17</v>
      </c>
      <c r="J8" s="5" t="s">
        <v>12</v>
      </c>
      <c r="K8" s="5" t="s">
        <v>13</v>
      </c>
    </row>
    <row r="9" spans="1:12" x14ac:dyDescent="0.25">
      <c r="A9" s="2">
        <v>44263</v>
      </c>
      <c r="B9" s="3">
        <v>108</v>
      </c>
      <c r="C9" s="4" t="str">
        <f t="shared" si="0"/>
        <v>Hesti</v>
      </c>
      <c r="D9" s="4" t="str">
        <f t="shared" si="1"/>
        <v>Bandung</v>
      </c>
      <c r="E9" s="4" t="str">
        <f t="shared" si="2"/>
        <v>2 Hari</v>
      </c>
      <c r="H9" s="3">
        <v>107</v>
      </c>
      <c r="I9" s="5" t="s">
        <v>18</v>
      </c>
      <c r="J9" s="5" t="s">
        <v>12</v>
      </c>
      <c r="K9" s="5" t="s">
        <v>15</v>
      </c>
    </row>
    <row r="10" spans="1:12" x14ac:dyDescent="0.25">
      <c r="A10" s="2">
        <v>44264</v>
      </c>
      <c r="B10" s="3">
        <v>109</v>
      </c>
      <c r="C10" s="4" t="str">
        <f t="shared" si="0"/>
        <v>Igna</v>
      </c>
      <c r="D10" s="4" t="str">
        <f t="shared" si="1"/>
        <v>Jakarta</v>
      </c>
      <c r="E10" s="4" t="str">
        <f t="shared" si="2"/>
        <v>1 Hari</v>
      </c>
      <c r="H10" s="3">
        <v>108</v>
      </c>
      <c r="I10" s="5" t="s">
        <v>19</v>
      </c>
      <c r="J10" s="5" t="s">
        <v>12</v>
      </c>
      <c r="K10" s="5" t="s">
        <v>8</v>
      </c>
    </row>
    <row r="11" spans="1:12" x14ac:dyDescent="0.25">
      <c r="A11" s="2">
        <v>44256</v>
      </c>
      <c r="B11" s="3">
        <v>101</v>
      </c>
      <c r="C11" s="4" t="str">
        <f t="shared" si="0"/>
        <v>Andi</v>
      </c>
      <c r="D11" s="4" t="str">
        <f t="shared" si="1"/>
        <v>Bandung</v>
      </c>
      <c r="E11" s="4" t="str">
        <f t="shared" si="2"/>
        <v>2 Hari</v>
      </c>
      <c r="H11" s="3">
        <v>109</v>
      </c>
      <c r="I11" s="5" t="s">
        <v>20</v>
      </c>
      <c r="J11" s="5" t="s">
        <v>7</v>
      </c>
      <c r="K11" s="5" t="s">
        <v>10</v>
      </c>
    </row>
    <row r="12" spans="1:12" x14ac:dyDescent="0.25">
      <c r="A12" s="2">
        <v>44262</v>
      </c>
      <c r="B12" s="3">
        <v>107</v>
      </c>
      <c r="C12" s="4" t="str">
        <f t="shared" si="0"/>
        <v>Gina</v>
      </c>
      <c r="D12" s="4" t="str">
        <f t="shared" si="1"/>
        <v>Surabaya</v>
      </c>
      <c r="E12" s="4" t="str">
        <f t="shared" si="2"/>
        <v>3 Hari</v>
      </c>
      <c r="H12" s="3">
        <v>110</v>
      </c>
      <c r="I12" s="5" t="s">
        <v>21</v>
      </c>
      <c r="J12" s="5" t="s">
        <v>7</v>
      </c>
      <c r="K12" s="5" t="s">
        <v>8</v>
      </c>
    </row>
    <row r="15" spans="1:12" x14ac:dyDescent="0.25">
      <c r="H15" s="6" t="s">
        <v>22</v>
      </c>
      <c r="I15" s="4" t="s">
        <v>10</v>
      </c>
      <c r="J15" s="4" t="s">
        <v>8</v>
      </c>
      <c r="K15" s="4" t="s">
        <v>13</v>
      </c>
      <c r="L15" s="4" t="s">
        <v>15</v>
      </c>
    </row>
    <row r="16" spans="1:12" x14ac:dyDescent="0.25">
      <c r="H16" s="6" t="s">
        <v>4</v>
      </c>
      <c r="I16" s="4" t="s">
        <v>23</v>
      </c>
      <c r="J16" s="4" t="s">
        <v>24</v>
      </c>
      <c r="K16" s="4" t="s">
        <v>24</v>
      </c>
      <c r="L16" s="4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7DA98-867E-426B-A21F-39102E9B4611}">
  <dimension ref="B3:J13"/>
  <sheetViews>
    <sheetView workbookViewId="0">
      <selection activeCell="G13" sqref="G13"/>
    </sheetView>
  </sheetViews>
  <sheetFormatPr defaultRowHeight="15" x14ac:dyDescent="0.25"/>
  <cols>
    <col min="2" max="2" width="15" bestFit="1" customWidth="1"/>
    <col min="3" max="3" width="15.28515625" bestFit="1" customWidth="1"/>
    <col min="4" max="4" width="13.28515625" bestFit="1" customWidth="1"/>
    <col min="5" max="5" width="10.85546875" bestFit="1" customWidth="1"/>
    <col min="7" max="7" width="15" bestFit="1" customWidth="1"/>
    <col min="8" max="8" width="15.28515625" bestFit="1" customWidth="1"/>
    <col min="9" max="9" width="13.28515625" bestFit="1" customWidth="1"/>
    <col min="10" max="10" width="15" bestFit="1" customWidth="1"/>
  </cols>
  <sheetData>
    <row r="3" spans="2:10" x14ac:dyDescent="0.25">
      <c r="B3" s="1" t="s">
        <v>1</v>
      </c>
      <c r="C3" s="1" t="s">
        <v>2</v>
      </c>
      <c r="D3" s="1" t="s">
        <v>3</v>
      </c>
      <c r="G3" s="1" t="s">
        <v>2</v>
      </c>
      <c r="H3" s="1" t="s">
        <v>5</v>
      </c>
      <c r="I3" s="1" t="s">
        <v>3</v>
      </c>
      <c r="J3" s="1" t="s">
        <v>1</v>
      </c>
    </row>
    <row r="4" spans="2:10" x14ac:dyDescent="0.25">
      <c r="B4" s="3">
        <v>101</v>
      </c>
      <c r="C4" s="5" t="str">
        <f>INDEX($G$3:$J$13,MATCH(B4,$J$3:$J$13,0),1)</f>
        <v>Andi</v>
      </c>
      <c r="D4" s="5" t="str">
        <f>INDEX($G$3:$J$13,MATCH(B4,$J$3:$J$13,0),3)</f>
        <v>Bandung</v>
      </c>
      <c r="G4" s="5" t="s">
        <v>6</v>
      </c>
      <c r="H4" s="5" t="s">
        <v>7</v>
      </c>
      <c r="I4" s="5" t="s">
        <v>8</v>
      </c>
      <c r="J4" s="3">
        <v>101</v>
      </c>
    </row>
    <row r="5" spans="2:10" x14ac:dyDescent="0.25">
      <c r="B5" s="3">
        <v>102</v>
      </c>
      <c r="C5" s="5" t="str">
        <f t="shared" ref="C5:C13" si="0">INDEX($G$3:$J$13,MATCH(B5,$J$3:$J$13,0),1)</f>
        <v>Budi</v>
      </c>
      <c r="D5" s="5" t="str">
        <f t="shared" ref="D5:D13" si="1">INDEX($G$3:$J$13,MATCH(B5,$J$3:$J$13,0),3)</f>
        <v>Jakarta</v>
      </c>
      <c r="G5" s="5" t="s">
        <v>9</v>
      </c>
      <c r="H5" s="5" t="s">
        <v>7</v>
      </c>
      <c r="I5" s="5" t="s">
        <v>10</v>
      </c>
      <c r="J5" s="3">
        <v>102</v>
      </c>
    </row>
    <row r="6" spans="2:10" x14ac:dyDescent="0.25">
      <c r="B6" s="3">
        <v>103</v>
      </c>
      <c r="C6" s="5" t="str">
        <f t="shared" si="0"/>
        <v>Clara</v>
      </c>
      <c r="D6" s="5" t="str">
        <f t="shared" si="1"/>
        <v>Palembang</v>
      </c>
      <c r="G6" s="5" t="s">
        <v>11</v>
      </c>
      <c r="H6" s="5" t="s">
        <v>12</v>
      </c>
      <c r="I6" s="5" t="s">
        <v>13</v>
      </c>
      <c r="J6" s="3">
        <v>103</v>
      </c>
    </row>
    <row r="7" spans="2:10" x14ac:dyDescent="0.25">
      <c r="B7" s="3">
        <v>104</v>
      </c>
      <c r="C7" s="5" t="str">
        <f t="shared" si="0"/>
        <v>Hesti</v>
      </c>
      <c r="D7" s="5" t="str">
        <f t="shared" si="1"/>
        <v>Bandung</v>
      </c>
      <c r="G7" s="5" t="s">
        <v>14</v>
      </c>
      <c r="H7" s="5" t="s">
        <v>12</v>
      </c>
      <c r="I7" s="5" t="s">
        <v>15</v>
      </c>
      <c r="J7" s="3">
        <v>107</v>
      </c>
    </row>
    <row r="8" spans="2:10" x14ac:dyDescent="0.25">
      <c r="B8" s="3">
        <v>105</v>
      </c>
      <c r="C8" s="5" t="str">
        <f t="shared" si="0"/>
        <v>Eko</v>
      </c>
      <c r="D8" s="5" t="str">
        <f t="shared" si="1"/>
        <v>Jakarta</v>
      </c>
      <c r="G8" s="5" t="s">
        <v>16</v>
      </c>
      <c r="H8" s="5" t="s">
        <v>7</v>
      </c>
      <c r="I8" s="5" t="s">
        <v>10</v>
      </c>
      <c r="J8" s="3">
        <v>105</v>
      </c>
    </row>
    <row r="9" spans="2:10" x14ac:dyDescent="0.25">
      <c r="B9" s="3">
        <v>106</v>
      </c>
      <c r="C9" s="5" t="str">
        <f t="shared" si="0"/>
        <v>Fiona</v>
      </c>
      <c r="D9" s="5" t="str">
        <f t="shared" si="1"/>
        <v>Palembang</v>
      </c>
      <c r="G9" s="5" t="s">
        <v>17</v>
      </c>
      <c r="H9" s="5" t="s">
        <v>12</v>
      </c>
      <c r="I9" s="5" t="s">
        <v>13</v>
      </c>
      <c r="J9" s="3">
        <v>106</v>
      </c>
    </row>
    <row r="10" spans="2:10" x14ac:dyDescent="0.25">
      <c r="B10" s="3">
        <v>107</v>
      </c>
      <c r="C10" s="5" t="str">
        <f t="shared" si="0"/>
        <v>Dewi</v>
      </c>
      <c r="D10" s="5" t="str">
        <f t="shared" si="1"/>
        <v>Surabaya</v>
      </c>
      <c r="G10" s="5" t="s">
        <v>18</v>
      </c>
      <c r="H10" s="5" t="s">
        <v>12</v>
      </c>
      <c r="I10" s="5" t="s">
        <v>15</v>
      </c>
      <c r="J10" s="3">
        <v>108</v>
      </c>
    </row>
    <row r="11" spans="2:10" x14ac:dyDescent="0.25">
      <c r="B11" s="3">
        <v>108</v>
      </c>
      <c r="C11" s="5" t="str">
        <f t="shared" si="0"/>
        <v>Gina</v>
      </c>
      <c r="D11" s="5" t="str">
        <f t="shared" si="1"/>
        <v>Surabaya</v>
      </c>
      <c r="G11" s="5" t="s">
        <v>19</v>
      </c>
      <c r="H11" s="5" t="s">
        <v>12</v>
      </c>
      <c r="I11" s="5" t="s">
        <v>8</v>
      </c>
      <c r="J11" s="3">
        <v>104</v>
      </c>
    </row>
    <row r="12" spans="2:10" x14ac:dyDescent="0.25">
      <c r="B12" s="3">
        <v>109</v>
      </c>
      <c r="C12" s="5" t="str">
        <f t="shared" si="0"/>
        <v>Igna</v>
      </c>
      <c r="D12" s="5" t="str">
        <f t="shared" si="1"/>
        <v>Jakarta</v>
      </c>
      <c r="G12" s="5" t="s">
        <v>20</v>
      </c>
      <c r="H12" s="5" t="s">
        <v>7</v>
      </c>
      <c r="I12" s="5" t="s">
        <v>10</v>
      </c>
      <c r="J12" s="3">
        <v>109</v>
      </c>
    </row>
    <row r="13" spans="2:10" x14ac:dyDescent="0.25">
      <c r="B13" s="3">
        <v>110</v>
      </c>
      <c r="C13" s="5" t="str">
        <f t="shared" si="0"/>
        <v>Juned</v>
      </c>
      <c r="D13" s="5" t="str">
        <f t="shared" si="1"/>
        <v>Bandung</v>
      </c>
      <c r="G13" s="5" t="s">
        <v>21</v>
      </c>
      <c r="H13" s="5" t="s">
        <v>7</v>
      </c>
      <c r="I13" s="5" t="s">
        <v>8</v>
      </c>
      <c r="J13" s="3">
        <v>110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85B30-0214-4645-B5B5-59676AB89DFC}">
  <dimension ref="A2:H17"/>
  <sheetViews>
    <sheetView workbookViewId="0">
      <selection sqref="A1:XFD1048576"/>
    </sheetView>
  </sheetViews>
  <sheetFormatPr defaultRowHeight="15" x14ac:dyDescent="0.25"/>
  <cols>
    <col min="1" max="1" width="13.85546875" bestFit="1" customWidth="1"/>
    <col min="2" max="2" width="14.85546875" bestFit="1" customWidth="1"/>
    <col min="3" max="3" width="12.42578125" bestFit="1" customWidth="1"/>
    <col min="4" max="4" width="14.7109375" customWidth="1"/>
    <col min="5" max="5" width="12.5703125" bestFit="1" customWidth="1"/>
    <col min="8" max="8" width="12.85546875" bestFit="1" customWidth="1"/>
  </cols>
  <sheetData>
    <row r="2" spans="1:8" x14ac:dyDescent="0.25">
      <c r="A2" s="7" t="s">
        <v>26</v>
      </c>
      <c r="B2" s="7" t="s">
        <v>27</v>
      </c>
      <c r="C2" s="7" t="s">
        <v>28</v>
      </c>
      <c r="D2" s="7" t="s">
        <v>29</v>
      </c>
    </row>
    <row r="3" spans="1:8" x14ac:dyDescent="0.25">
      <c r="A3" s="4" t="s">
        <v>30</v>
      </c>
      <c r="B3" s="4" t="str">
        <f>VLOOKUP(LEFT(A3,3),$D$15:$E$17,2,0)</f>
        <v>Kipas Angin</v>
      </c>
      <c r="C3" s="4">
        <f>VLOOKUP(MID(A3,5,5),$G$15:$H$17,2,0)</f>
        <v>2100000</v>
      </c>
      <c r="D3" s="4">
        <f>VLOOKUP(RIGHT(A3,3),$A$15:$B$17,2,0)</f>
        <v>20</v>
      </c>
    </row>
    <row r="4" spans="1:8" x14ac:dyDescent="0.25">
      <c r="A4" s="4" t="s">
        <v>31</v>
      </c>
      <c r="B4" s="4" t="str">
        <f t="shared" ref="B4:B10" si="0">VLOOKUP(LEFT(A4,3),$D$15:$E$17,2,0)</f>
        <v>TV LCD</v>
      </c>
      <c r="C4" s="4">
        <f t="shared" ref="C4:C10" si="1">VLOOKUP(MID(A4,5,5),$G$15:$H$17,2,0)</f>
        <v>2200000</v>
      </c>
      <c r="D4" s="4">
        <f t="shared" ref="D4:D10" si="2">VLOOKUP(RIGHT(A4,3),$A$15:$B$17,2,0)</f>
        <v>21</v>
      </c>
    </row>
    <row r="5" spans="1:8" x14ac:dyDescent="0.25">
      <c r="A5" s="4" t="s">
        <v>32</v>
      </c>
      <c r="B5" s="4" t="str">
        <f t="shared" si="0"/>
        <v>LAPTOP</v>
      </c>
      <c r="C5" s="4">
        <f t="shared" si="1"/>
        <v>2300000</v>
      </c>
      <c r="D5" s="4">
        <f t="shared" si="2"/>
        <v>22</v>
      </c>
    </row>
    <row r="6" spans="1:8" x14ac:dyDescent="0.25">
      <c r="A6" s="4" t="s">
        <v>32</v>
      </c>
      <c r="B6" s="4" t="str">
        <f t="shared" si="0"/>
        <v>LAPTOP</v>
      </c>
      <c r="C6" s="4">
        <f t="shared" si="1"/>
        <v>2300000</v>
      </c>
      <c r="D6" s="4">
        <f t="shared" si="2"/>
        <v>22</v>
      </c>
    </row>
    <row r="7" spans="1:8" x14ac:dyDescent="0.25">
      <c r="A7" s="4" t="s">
        <v>31</v>
      </c>
      <c r="B7" s="4" t="str">
        <f t="shared" si="0"/>
        <v>TV LCD</v>
      </c>
      <c r="C7" s="4">
        <f t="shared" si="1"/>
        <v>2200000</v>
      </c>
      <c r="D7" s="4">
        <f t="shared" si="2"/>
        <v>21</v>
      </c>
    </row>
    <row r="8" spans="1:8" x14ac:dyDescent="0.25">
      <c r="A8" s="4" t="s">
        <v>30</v>
      </c>
      <c r="B8" s="4" t="str">
        <f t="shared" si="0"/>
        <v>Kipas Angin</v>
      </c>
      <c r="C8" s="4">
        <f t="shared" si="1"/>
        <v>2100000</v>
      </c>
      <c r="D8" s="4">
        <f t="shared" si="2"/>
        <v>20</v>
      </c>
    </row>
    <row r="9" spans="1:8" x14ac:dyDescent="0.25">
      <c r="A9" s="4" t="s">
        <v>31</v>
      </c>
      <c r="B9" s="4" t="str">
        <f t="shared" si="0"/>
        <v>TV LCD</v>
      </c>
      <c r="C9" s="4">
        <f t="shared" si="1"/>
        <v>2200000</v>
      </c>
      <c r="D9" s="4">
        <f t="shared" si="2"/>
        <v>21</v>
      </c>
    </row>
    <row r="10" spans="1:8" x14ac:dyDescent="0.25">
      <c r="A10" s="4" t="s">
        <v>30</v>
      </c>
      <c r="B10" s="4" t="str">
        <f t="shared" si="0"/>
        <v>Kipas Angin</v>
      </c>
      <c r="C10" s="4">
        <f t="shared" si="1"/>
        <v>2100000</v>
      </c>
      <c r="D10" s="4">
        <f t="shared" si="2"/>
        <v>20</v>
      </c>
    </row>
    <row r="13" spans="1:8" x14ac:dyDescent="0.25">
      <c r="A13" t="s">
        <v>33</v>
      </c>
    </row>
    <row r="14" spans="1:8" x14ac:dyDescent="0.25">
      <c r="A14" s="7" t="s">
        <v>26</v>
      </c>
      <c r="B14" s="7" t="s">
        <v>29</v>
      </c>
      <c r="C14" s="8"/>
      <c r="D14" s="9" t="s">
        <v>34</v>
      </c>
      <c r="E14" s="9" t="s">
        <v>35</v>
      </c>
      <c r="F14" s="8"/>
      <c r="G14" s="7" t="s">
        <v>26</v>
      </c>
      <c r="H14" s="7" t="s">
        <v>36</v>
      </c>
    </row>
    <row r="15" spans="1:8" x14ac:dyDescent="0.25">
      <c r="A15" s="10" t="s">
        <v>37</v>
      </c>
      <c r="B15" s="10">
        <v>20</v>
      </c>
      <c r="D15" s="4" t="s">
        <v>38</v>
      </c>
      <c r="E15" s="4" t="s">
        <v>39</v>
      </c>
      <c r="G15" s="10" t="s">
        <v>40</v>
      </c>
      <c r="H15" s="11">
        <v>2100000</v>
      </c>
    </row>
    <row r="16" spans="1:8" x14ac:dyDescent="0.25">
      <c r="A16" s="10" t="s">
        <v>41</v>
      </c>
      <c r="B16" s="10">
        <v>21</v>
      </c>
      <c r="D16" s="4" t="s">
        <v>42</v>
      </c>
      <c r="E16" s="4" t="s">
        <v>43</v>
      </c>
      <c r="G16" s="10" t="s">
        <v>44</v>
      </c>
      <c r="H16" s="11">
        <v>2200000</v>
      </c>
    </row>
    <row r="17" spans="1:8" x14ac:dyDescent="0.25">
      <c r="A17" s="10" t="s">
        <v>45</v>
      </c>
      <c r="B17" s="10">
        <v>22</v>
      </c>
      <c r="D17" s="4" t="s">
        <v>46</v>
      </c>
      <c r="E17" s="4" t="s">
        <v>47</v>
      </c>
      <c r="G17" s="10" t="s">
        <v>48</v>
      </c>
      <c r="H17" s="11">
        <v>2300000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AE817-37F5-4283-A2CF-BA5DEA36CBA1}">
  <dimension ref="A3:M13"/>
  <sheetViews>
    <sheetView tabSelected="1" workbookViewId="0">
      <selection activeCell="J17" sqref="J17"/>
    </sheetView>
  </sheetViews>
  <sheetFormatPr defaultRowHeight="15" x14ac:dyDescent="0.25"/>
  <cols>
    <col min="1" max="1" width="12.85546875" bestFit="1" customWidth="1"/>
    <col min="2" max="2" width="14.85546875" bestFit="1" customWidth="1"/>
    <col min="3" max="3" width="12.7109375" customWidth="1"/>
    <col min="4" max="4" width="13.5703125" bestFit="1" customWidth="1"/>
    <col min="7" max="11" width="12.85546875" bestFit="1" customWidth="1"/>
    <col min="12" max="12" width="10.140625" bestFit="1" customWidth="1"/>
    <col min="13" max="13" width="13.5703125" bestFit="1" customWidth="1"/>
  </cols>
  <sheetData>
    <row r="3" spans="1:13" x14ac:dyDescent="0.25">
      <c r="A3" s="12" t="s">
        <v>26</v>
      </c>
      <c r="B3" s="12" t="s">
        <v>27</v>
      </c>
      <c r="C3" s="12" t="s">
        <v>49</v>
      </c>
      <c r="D3" s="12" t="s">
        <v>50</v>
      </c>
      <c r="G3" s="13" t="s">
        <v>51</v>
      </c>
      <c r="H3" s="13"/>
      <c r="I3" s="13"/>
      <c r="J3" s="13"/>
      <c r="K3" s="13"/>
    </row>
    <row r="4" spans="1:13" x14ac:dyDescent="0.25">
      <c r="A4" s="4" t="s">
        <v>52</v>
      </c>
      <c r="B4" s="4" t="str">
        <f>HLOOKUP(LEFT(A4,4),$G$4:$K$5,2,0)</f>
        <v>RAM TYPE 5</v>
      </c>
      <c r="C4" s="14">
        <f>HLOOKUP(MID(A4,3,5),$G$8:$M$9,2,0)</f>
        <v>1500000</v>
      </c>
      <c r="D4" s="4" t="str">
        <f>HLOOKUP(RIGHT(A4,4),$L$8:$M$9,2,0)</f>
        <v>DISCOUNT</v>
      </c>
      <c r="G4" s="6" t="s">
        <v>53</v>
      </c>
      <c r="H4" s="6" t="s">
        <v>54</v>
      </c>
      <c r="I4" s="6" t="s">
        <v>55</v>
      </c>
      <c r="J4" s="6" t="s">
        <v>56</v>
      </c>
      <c r="K4" s="6" t="s">
        <v>57</v>
      </c>
    </row>
    <row r="5" spans="1:13" x14ac:dyDescent="0.25">
      <c r="A5" s="4" t="s">
        <v>58</v>
      </c>
      <c r="B5" s="4" t="str">
        <f t="shared" ref="B5:B13" si="0">HLOOKUP(LEFT(A5,4),$G$4:$K$5,2,0)</f>
        <v>RAM TYPE 6</v>
      </c>
      <c r="C5" s="14">
        <f t="shared" ref="C5:C13" si="1">HLOOKUP(MID(A5,3,5),$G$8:$M$9,2,0)</f>
        <v>1600000</v>
      </c>
      <c r="D5" s="4" t="str">
        <f t="shared" ref="D5:D13" si="2">HLOOKUP(RIGHT(A5,4),$L$8:$M$9,2,0)</f>
        <v>DISCOUNT</v>
      </c>
      <c r="G5" s="4" t="s">
        <v>59</v>
      </c>
      <c r="H5" s="4" t="s">
        <v>60</v>
      </c>
      <c r="I5" s="4" t="s">
        <v>61</v>
      </c>
      <c r="J5" s="4" t="s">
        <v>62</v>
      </c>
      <c r="K5" s="4" t="s">
        <v>63</v>
      </c>
    </row>
    <row r="6" spans="1:13" x14ac:dyDescent="0.25">
      <c r="A6" s="4" t="s">
        <v>64</v>
      </c>
      <c r="B6" s="4" t="str">
        <f t="shared" si="0"/>
        <v>RAM TYPE 7</v>
      </c>
      <c r="C6" s="14">
        <f t="shared" si="1"/>
        <v>1700000</v>
      </c>
      <c r="D6" s="4" t="str">
        <f t="shared" si="2"/>
        <v>DISCOUNT</v>
      </c>
    </row>
    <row r="7" spans="1:13" x14ac:dyDescent="0.25">
      <c r="A7" s="4" t="s">
        <v>65</v>
      </c>
      <c r="B7" s="4" t="str">
        <f t="shared" si="0"/>
        <v>RAM TYPE 8</v>
      </c>
      <c r="C7" s="14">
        <f t="shared" si="1"/>
        <v>1800000</v>
      </c>
      <c r="D7" s="4" t="str">
        <f t="shared" si="2"/>
        <v>DISCOUNT</v>
      </c>
      <c r="G7" s="13" t="s">
        <v>66</v>
      </c>
      <c r="H7" s="13"/>
      <c r="I7" s="13"/>
    </row>
    <row r="8" spans="1:13" x14ac:dyDescent="0.25">
      <c r="A8" s="4" t="s">
        <v>67</v>
      </c>
      <c r="B8" s="4" t="str">
        <f t="shared" si="0"/>
        <v>RAM TYPE 9</v>
      </c>
      <c r="C8" s="14">
        <f t="shared" si="1"/>
        <v>1900000</v>
      </c>
      <c r="D8" s="4" t="str">
        <f t="shared" si="2"/>
        <v>DISCOUNT</v>
      </c>
      <c r="G8" s="6" t="s">
        <v>68</v>
      </c>
      <c r="H8" s="6" t="s">
        <v>69</v>
      </c>
      <c r="I8" s="6" t="s">
        <v>70</v>
      </c>
      <c r="J8" s="6" t="s">
        <v>71</v>
      </c>
      <c r="K8" s="6" t="s">
        <v>72</v>
      </c>
      <c r="L8" s="6" t="s">
        <v>73</v>
      </c>
      <c r="M8" s="6" t="s">
        <v>74</v>
      </c>
    </row>
    <row r="9" spans="1:13" x14ac:dyDescent="0.25">
      <c r="A9" s="4" t="s">
        <v>75</v>
      </c>
      <c r="B9" s="4" t="str">
        <f t="shared" si="0"/>
        <v>RAM TYPE 5</v>
      </c>
      <c r="C9" s="14">
        <f t="shared" si="1"/>
        <v>1500000</v>
      </c>
      <c r="D9" s="4" t="str">
        <f t="shared" si="2"/>
        <v>NO DISCOUNT</v>
      </c>
      <c r="G9" s="14">
        <v>1500000</v>
      </c>
      <c r="H9" s="14">
        <v>1600000</v>
      </c>
      <c r="I9" s="14">
        <v>1700000</v>
      </c>
      <c r="J9" s="14">
        <v>1800000</v>
      </c>
      <c r="K9" s="14">
        <v>1900000</v>
      </c>
      <c r="L9" s="4" t="s">
        <v>76</v>
      </c>
      <c r="M9" s="4" t="s">
        <v>77</v>
      </c>
    </row>
    <row r="10" spans="1:13" x14ac:dyDescent="0.25">
      <c r="A10" s="4" t="s">
        <v>78</v>
      </c>
      <c r="B10" s="4" t="str">
        <f t="shared" si="0"/>
        <v>RAM TYPE 6</v>
      </c>
      <c r="C10" s="14">
        <f t="shared" si="1"/>
        <v>1600000</v>
      </c>
      <c r="D10" s="4" t="str">
        <f t="shared" si="2"/>
        <v>NO DISCOUNT</v>
      </c>
    </row>
    <row r="11" spans="1:13" x14ac:dyDescent="0.25">
      <c r="A11" s="4" t="s">
        <v>79</v>
      </c>
      <c r="B11" s="4" t="str">
        <f t="shared" si="0"/>
        <v>RAM TYPE 7</v>
      </c>
      <c r="C11" s="14">
        <f t="shared" si="1"/>
        <v>1700000</v>
      </c>
      <c r="D11" s="4" t="str">
        <f t="shared" si="2"/>
        <v>NO DISCOUNT</v>
      </c>
    </row>
    <row r="12" spans="1:13" x14ac:dyDescent="0.25">
      <c r="A12" s="4" t="s">
        <v>80</v>
      </c>
      <c r="B12" s="4" t="str">
        <f t="shared" si="0"/>
        <v>RAM TYPE 8</v>
      </c>
      <c r="C12" s="14">
        <f t="shared" si="1"/>
        <v>1800000</v>
      </c>
      <c r="D12" s="4" t="str">
        <f t="shared" si="2"/>
        <v>NO DISCOUNT</v>
      </c>
    </row>
    <row r="13" spans="1:13" x14ac:dyDescent="0.25">
      <c r="A13" s="4" t="s">
        <v>81</v>
      </c>
      <c r="B13" s="4" t="str">
        <f t="shared" si="0"/>
        <v>RAM TYPE 9</v>
      </c>
      <c r="C13" s="14">
        <f t="shared" si="1"/>
        <v>1900000</v>
      </c>
      <c r="D13" s="4" t="str">
        <f t="shared" si="2"/>
        <v>NO DISCOUNT</v>
      </c>
    </row>
  </sheetData>
  <mergeCells count="2">
    <mergeCell ref="G3:K3"/>
    <mergeCell ref="G7:I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VLOOKUP &amp; HLOOKUP</vt:lpstr>
      <vt:lpstr>VLOOKUP INDEX MATCH</vt:lpstr>
      <vt:lpstr>VLOOKUP LEFT, MID, RIGHT</vt:lpstr>
      <vt:lpstr>HLOOKUP LEFT, MID, RIGHT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2025-11-02T13:43:04Z</dcterms:created>
  <dcterms:modified xsi:type="dcterms:W3CDTF">2025-11-02T13:46:33Z</dcterms:modified>
</cp:coreProperties>
</file>