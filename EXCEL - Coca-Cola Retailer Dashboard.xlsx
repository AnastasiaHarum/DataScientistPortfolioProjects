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3E98C3BC-D925-41AD-8ED5-AD79ABC68DEC}" xr6:coauthVersionLast="43" xr6:coauthVersionMax="47" xr10:uidLastSave="{00000000-0000-0000-0000-000000000000}"/>
  <bookViews>
    <workbookView xWindow="-120" yWindow="-120" windowWidth="20730" windowHeight="11160" activeTab="2" xr2:uid="{AA3C1E50-38F1-6644-B051-514CE6CAA6A2}"/>
  </bookViews>
  <sheets>
    <sheet name="Sheet2" sheetId="9" r:id="rId1"/>
    <sheet name="Data" sheetId="1" r:id="rId2"/>
    <sheet name="Dashboard" sheetId="6" r:id="rId3"/>
  </sheets>
  <definedNames>
    <definedName name="Slicer_Region">#N/A</definedName>
    <definedName name="Slicer_Years">#N/A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H12" i="6" l="1"/>
  <c r="I12" i="6"/>
  <c r="J12" i="6"/>
  <c r="K12" i="6"/>
  <c r="H13" i="6"/>
  <c r="I13" i="6"/>
  <c r="J13" i="6"/>
  <c r="K13" i="6"/>
  <c r="H14" i="6"/>
  <c r="I14" i="6"/>
  <c r="J14" i="6"/>
  <c r="K14" i="6"/>
  <c r="H15" i="6"/>
  <c r="I15" i="6"/>
  <c r="J15" i="6"/>
  <c r="K15" i="6"/>
  <c r="H16" i="6"/>
  <c r="I16" i="6"/>
  <c r="J16" i="6"/>
  <c r="K16" i="6"/>
  <c r="I17" i="6"/>
  <c r="J17" i="6"/>
  <c r="K17" i="6"/>
  <c r="I11" i="6"/>
  <c r="J11" i="6"/>
  <c r="K11" i="6"/>
  <c r="H11" i="6"/>
  <c r="C12" i="6"/>
  <c r="D12" i="6"/>
  <c r="E12" i="6"/>
  <c r="C13" i="6"/>
  <c r="D13" i="6"/>
  <c r="E13" i="6"/>
  <c r="C14" i="6"/>
  <c r="D14" i="6"/>
  <c r="E14" i="6"/>
  <c r="C15" i="6"/>
  <c r="D15" i="6"/>
  <c r="E15" i="6"/>
  <c r="C16" i="6"/>
  <c r="D16" i="6"/>
  <c r="E16" i="6"/>
  <c r="D17" i="6"/>
  <c r="E17" i="6"/>
  <c r="D11" i="6"/>
  <c r="E11" i="6"/>
  <c r="C11" i="6"/>
  <c r="F28" i="9"/>
  <c r="G28" i="9"/>
  <c r="H28" i="9"/>
  <c r="F29" i="9"/>
  <c r="G29" i="9"/>
  <c r="H29" i="9"/>
  <c r="F30" i="9"/>
  <c r="G30" i="9"/>
  <c r="H30" i="9"/>
  <c r="E31" i="9"/>
  <c r="F31" i="9"/>
  <c r="G31" i="9"/>
  <c r="H31" i="9"/>
  <c r="F32" i="9"/>
  <c r="G32" i="9"/>
  <c r="H32" i="9"/>
  <c r="F33" i="9"/>
  <c r="G33" i="9"/>
  <c r="H33" i="9"/>
  <c r="F34" i="9"/>
  <c r="G34" i="9"/>
  <c r="H34" i="9"/>
  <c r="F27" i="9"/>
  <c r="G27" i="9"/>
  <c r="H27" i="9"/>
  <c r="E27" i="9"/>
  <c r="F12" i="6" l="1"/>
  <c r="F15" i="6"/>
  <c r="F13" i="6"/>
  <c r="F11" i="6"/>
  <c r="F16" i="6"/>
  <c r="F17" i="6"/>
  <c r="F14" i="6"/>
</calcChain>
</file>

<file path=xl/sharedStrings.xml><?xml version="1.0" encoding="utf-8"?>
<sst xmlns="http://schemas.openxmlformats.org/spreadsheetml/2006/main" count="48311" uniqueCount="156">
  <si>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</si>
  <si>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</si>
  <si>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</si>
  <si>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</si>
  <si>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</si>
  <si>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</si>
  <si>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</si>
  <si>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</si>
  <si>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</si>
  <si>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</si>
  <si>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</si>
  <si>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</si>
  <si>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</si>
  <si>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</si>
  <si>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</si>
  <si>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</si>
  <si>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</si>
  <si>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</si>
  <si>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</si>
  <si>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</si>
  <si>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</si>
  <si>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</si>
  <si>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</si>
  <si>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</si>
  <si>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</si>
  <si>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</si>
  <si>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</si>
  <si>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</si>
  <si>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</si>
  <si>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</si>
  <si>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</si>
  <si>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</si>
  <si>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</si>
  <si>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</si>
  <si>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</si>
  <si>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</si>
  <si>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</si>
  <si>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</si>
  <si>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</si>
  <si>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</si>
  <si>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</si>
  <si>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</si>
  <si>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</si>
  <si>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</si>
  <si>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</si>
  <si>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</si>
  <si>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</si>
  <si>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</si>
  <si>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</si>
  <si>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</si>
  <si>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</si>
  <si>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</si>
  <si>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</si>
  <si>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</si>
  <si>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</si>
  <si>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</si>
  <si>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</si>
  <si>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</si>
  <si>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</si>
  <si>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</si>
  <si>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</si>
  <si>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</si>
  <si>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</si>
  <si>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</si>
  <si>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</si>
  <si>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</si>
  <si>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</si>
  <si>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</si>
  <si>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</si>
  <si>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</si>
  <si>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</si>
  <si>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</si>
  <si>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</si>
  <si>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</si>
  <si>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</si>
  <si>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</si>
  <si>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</si>
  <si>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</si>
  <si>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</si>
  <si>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</si>
  <si>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</si>
  <si>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</si>
  <si>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</si>
  <si>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</si>
  <si>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</si>
  <si>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</si>
  <si>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</si>
  <si>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</si>
  <si>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</si>
  <si>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</si>
  <si>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</si>
  <si>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</si>
  <si>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</si>
  <si>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</si>
  <si>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</si>
  <si>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</si>
  <si>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</si>
  <si>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</si>
  <si>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</si>
  <si>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</si>
  <si>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</si>
  <si>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</si>
  <si>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</si>
  <si>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</si>
  <si>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</si>
  <si>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</si>
  <si>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</si>
  <si>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</si>
  <si>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</si>
  <si>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</si>
  <si>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</si>
  <si>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</si>
  <si>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</si>
  <si>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</si>
  <si>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</si>
  <si>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</si>
  <si>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</si>
  <si>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</si>
  <si>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</si>
  <si>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</si>
  <si>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</si>
  <si>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</si>
  <si>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</si>
  <si>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</si>
  <si>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</si>
  <si>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</si>
  <si>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</si>
  <si>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</si>
  <si>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</si>
  <si>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</si>
  <si>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</si>
  <si>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Retailer</t>
  </si>
  <si>
    <t>Sales by Beverage Brand</t>
  </si>
  <si>
    <t>Brand</t>
  </si>
  <si>
    <t>Sales 2022</t>
  </si>
  <si>
    <t>Sales 2023</t>
  </si>
  <si>
    <t>Varience</t>
  </si>
  <si>
    <t xml:space="preserve">Sales 2023 </t>
  </si>
  <si>
    <t>Sales and Operating Profit Margin by Quarter</t>
  </si>
  <si>
    <t>Sum of Total Sales</t>
  </si>
  <si>
    <t>Sum of Units Sold</t>
  </si>
  <si>
    <t>Average of Price per Unit</t>
  </si>
  <si>
    <t>Sum of Operating Profit</t>
  </si>
  <si>
    <t>Row Labels</t>
  </si>
  <si>
    <t>Grand Total</t>
  </si>
  <si>
    <t>Column Labels</t>
  </si>
  <si>
    <t>2022</t>
  </si>
  <si>
    <t>2023</t>
  </si>
  <si>
    <t>Qtr1</t>
  </si>
  <si>
    <t>Qtr2</t>
  </si>
  <si>
    <t>Qtr3</t>
  </si>
  <si>
    <t>Qtr4</t>
  </si>
  <si>
    <t>Average of Operating Margin</t>
  </si>
  <si>
    <t>Years</t>
  </si>
  <si>
    <t>Quarters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</si>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</sst>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71" formatCode="[$$-C09]#,##0.0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s>
  <fills count="7">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rgb="FF073673"/>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2" fillId="3" borderId="0" xfId="0" applyFont="1" applyFill="1" applyAlignment="1">
      <alignment horizontal="centerContinuous"/>
    </xf>
    <xf numFmtId="0" fontId="2" fillId="0"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Continuous"/>
    </xf>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5" fillId="6" borderId="2" xfId="0" applyFont="1" applyFill="1" applyBorder="1"/>
    <xf numFmtId="3" fontId="5" fillId="6" borderId="2" xfId="0" applyNumberFormat="1" applyFont="1" applyFill="1" applyBorder="1"/>
    <xf numFmtId="171" fontId="0" fillId="0" borderId="0" xfId="0" applyNumberFormat="1"/>
  </cellXfs>
  <cellStyles count="2">
    <cellStyle name="Hyperlink 2" xfId="1" xr:uid="{229837FD-7C70-47AC-B854-CBC5538B0B97}"/>
    <cellStyle name="Normal" xfId="0" builtinId="0"/>
  </cellStyles>
  <dxfs count="47">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3" formatCode="#,##0"/>
    </dxf>
    <dxf>
      <numFmt numFmtId="171" formatCode="[$$-C09]#,##0.00"/>
    </dxf>
    <dxf>
      <numFmt numFmtId="171" formatCode="[$$-C09]#,##0.00"/>
    </dxf>
    <dxf>
      <numFmt numFmtId="3" formatCode="#,##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lumMod val="50000"/>
              </a:schemeClr>
            </a:solidFill>
            <a:ln>
              <a:noFill/>
            </a:ln>
            <a:effectLst/>
          </c:spPr>
          <c:invertIfNegative val="0"/>
          <c:cat>
            <c:multiLvlStrRef>
              <c:f>Sheet2!$E$27:$F$34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Sheet2!$G$27:$G$34</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231F-4E26-84A9-D63CEFF6DF06}"/>
            </c:ext>
          </c:extLst>
        </c:ser>
        <c:dLbls>
          <c:showLegendKey val="0"/>
          <c:showVal val="0"/>
          <c:showCatName val="0"/>
          <c:showSerName val="0"/>
          <c:showPercent val="0"/>
          <c:showBubbleSize val="0"/>
        </c:dLbls>
        <c:gapWidth val="219"/>
        <c:axId val="678633472"/>
        <c:axId val="604021024"/>
      </c:barChart>
      <c:lineChart>
        <c:grouping val="standard"/>
        <c:varyColors val="0"/>
        <c:ser>
          <c:idx val="1"/>
          <c:order val="1"/>
          <c:tx>
            <c:v>Operating Profit Margin</c:v>
          </c:tx>
          <c:spPr>
            <a:ln w="28575" cap="rnd">
              <a:solidFill>
                <a:srgbClr val="FF0000"/>
              </a:solidFill>
              <a:round/>
            </a:ln>
            <a:effectLst/>
          </c:spPr>
          <c:marker>
            <c:symbol val="circle"/>
            <c:size val="5"/>
            <c:spPr>
              <a:solidFill>
                <a:schemeClr val="bg1"/>
              </a:solidFill>
              <a:ln w="12700">
                <a:solidFill>
                  <a:srgbClr val="FF0000"/>
                </a:solidFill>
              </a:ln>
              <a:effectLst/>
            </c:spPr>
          </c:marker>
          <c:cat>
            <c:multiLvlStrRef>
              <c:f>Sheet2!$E$27:$F$34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Sheet2!$H$27:$H$34</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231F-4E26-84A9-D63CEFF6DF06}"/>
            </c:ext>
          </c:extLst>
        </c:ser>
        <c:dLbls>
          <c:showLegendKey val="0"/>
          <c:showVal val="0"/>
          <c:showCatName val="0"/>
          <c:showSerName val="0"/>
          <c:showPercent val="0"/>
          <c:showBubbleSize val="0"/>
        </c:dLbls>
        <c:marker val="1"/>
        <c:smooth val="0"/>
        <c:axId val="600974432"/>
        <c:axId val="775249824"/>
      </c:lineChart>
      <c:catAx>
        <c:axId val="67863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021024"/>
        <c:crosses val="autoZero"/>
        <c:auto val="1"/>
        <c:lblAlgn val="ctr"/>
        <c:lblOffset val="100"/>
        <c:noMultiLvlLbl val="0"/>
      </c:catAx>
      <c:valAx>
        <c:axId val="604021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33472"/>
        <c:crosses val="autoZero"/>
        <c:crossBetween val="between"/>
      </c:valAx>
      <c:valAx>
        <c:axId val="7752498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974432"/>
        <c:crosses val="max"/>
        <c:crossBetween val="between"/>
      </c:valAx>
      <c:catAx>
        <c:axId val="600974432"/>
        <c:scaling>
          <c:orientation val="minMax"/>
        </c:scaling>
        <c:delete val="1"/>
        <c:axPos val="b"/>
        <c:numFmt formatCode="General" sourceLinked="1"/>
        <c:majorTickMark val="out"/>
        <c:minorTickMark val="none"/>
        <c:tickLblPos val="nextTo"/>
        <c:crossAx val="7752498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38100</xdr:colOff>
      <xdr:row>1</xdr:row>
      <xdr:rowOff>114300</xdr:rowOff>
    </xdr:from>
    <xdr:to>
      <xdr:col>11</xdr:col>
      <xdr:colOff>57150</xdr:colOff>
      <xdr:row>3</xdr:row>
      <xdr:rowOff>171450</xdr:rowOff>
    </xdr:to>
    <xdr:sp macro="" textlink="">
      <xdr:nvSpPr>
        <xdr:cNvPr id="2" name="Rectangle 1">
          <a:extLst>
            <a:ext uri="{FF2B5EF4-FFF2-40B4-BE49-F238E27FC236}">
              <a16:creationId xmlns:a16="http://schemas.microsoft.com/office/drawing/2014/main" id="{D62D6A10-1C97-43D8-8B19-B39AA92C7204}"/>
            </a:ext>
          </a:extLst>
        </xdr:cNvPr>
        <xdr:cNvSpPr/>
      </xdr:nvSpPr>
      <xdr:spPr>
        <a:xfrm>
          <a:off x="2619375" y="314325"/>
          <a:ext cx="7734300" cy="457200"/>
        </a:xfrm>
        <a:prstGeom prst="rect">
          <a:avLst/>
        </a:prstGeom>
        <a:solidFill>
          <a:srgbClr val="073673"/>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9525</xdr:colOff>
      <xdr:row>4</xdr:row>
      <xdr:rowOff>152400</xdr:rowOff>
    </xdr:from>
    <xdr:to>
      <xdr:col>3</xdr:col>
      <xdr:colOff>752475</xdr:colOff>
      <xdr:row>6</xdr:row>
      <xdr:rowOff>190500</xdr:rowOff>
    </xdr:to>
    <xdr:sp macro="" textlink="">
      <xdr:nvSpPr>
        <xdr:cNvPr id="3" name="Rectangle 2">
          <a:extLst>
            <a:ext uri="{FF2B5EF4-FFF2-40B4-BE49-F238E27FC236}">
              <a16:creationId xmlns:a16="http://schemas.microsoft.com/office/drawing/2014/main" id="{D4F604C3-528B-4227-A792-3B8E0A3B4A5F}"/>
            </a:ext>
          </a:extLst>
        </xdr:cNvPr>
        <xdr:cNvSpPr/>
      </xdr:nvSpPr>
      <xdr:spPr>
        <a:xfrm>
          <a:off x="2616367" y="954505"/>
          <a:ext cx="1605213" cy="439153"/>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28575</xdr:colOff>
      <xdr:row>4</xdr:row>
      <xdr:rowOff>133350</xdr:rowOff>
    </xdr:from>
    <xdr:to>
      <xdr:col>5</xdr:col>
      <xdr:colOff>809625</xdr:colOff>
      <xdr:row>6</xdr:row>
      <xdr:rowOff>171450</xdr:rowOff>
    </xdr:to>
    <xdr:sp macro="" textlink="">
      <xdr:nvSpPr>
        <xdr:cNvPr id="4" name="Rectangle 3">
          <a:extLst>
            <a:ext uri="{FF2B5EF4-FFF2-40B4-BE49-F238E27FC236}">
              <a16:creationId xmlns:a16="http://schemas.microsoft.com/office/drawing/2014/main" id="{71348A76-9F3D-4164-B20D-24C7AB559869}"/>
            </a:ext>
          </a:extLst>
        </xdr:cNvPr>
        <xdr:cNvSpPr/>
      </xdr:nvSpPr>
      <xdr:spPr>
        <a:xfrm>
          <a:off x="4324350" y="933450"/>
          <a:ext cx="1638300" cy="438150"/>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847725</xdr:colOff>
      <xdr:row>4</xdr:row>
      <xdr:rowOff>114300</xdr:rowOff>
    </xdr:from>
    <xdr:to>
      <xdr:col>8</xdr:col>
      <xdr:colOff>676275</xdr:colOff>
      <xdr:row>6</xdr:row>
      <xdr:rowOff>152400</xdr:rowOff>
    </xdr:to>
    <xdr:sp macro="" textlink="">
      <xdr:nvSpPr>
        <xdr:cNvPr id="5" name="Rectangle 4">
          <a:extLst>
            <a:ext uri="{FF2B5EF4-FFF2-40B4-BE49-F238E27FC236}">
              <a16:creationId xmlns:a16="http://schemas.microsoft.com/office/drawing/2014/main" id="{105A239E-6992-48F2-9CFF-CE1D728D167B}"/>
            </a:ext>
          </a:extLst>
        </xdr:cNvPr>
        <xdr:cNvSpPr/>
      </xdr:nvSpPr>
      <xdr:spPr>
        <a:xfrm>
          <a:off x="6858000" y="914400"/>
          <a:ext cx="1543050" cy="438150"/>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95250</xdr:colOff>
      <xdr:row>4</xdr:row>
      <xdr:rowOff>114300</xdr:rowOff>
    </xdr:from>
    <xdr:to>
      <xdr:col>11</xdr:col>
      <xdr:colOff>38100</xdr:colOff>
      <xdr:row>6</xdr:row>
      <xdr:rowOff>152400</xdr:rowOff>
    </xdr:to>
    <xdr:sp macro="" textlink="">
      <xdr:nvSpPr>
        <xdr:cNvPr id="6" name="Rectangle 5">
          <a:extLst>
            <a:ext uri="{FF2B5EF4-FFF2-40B4-BE49-F238E27FC236}">
              <a16:creationId xmlns:a16="http://schemas.microsoft.com/office/drawing/2014/main" id="{3416AD5F-2431-45F3-8A03-2809EEF09AE4}"/>
            </a:ext>
          </a:extLst>
        </xdr:cNvPr>
        <xdr:cNvSpPr/>
      </xdr:nvSpPr>
      <xdr:spPr>
        <a:xfrm>
          <a:off x="8677275" y="914400"/>
          <a:ext cx="1657350" cy="438150"/>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2</xdr:col>
      <xdr:colOff>28575</xdr:colOff>
      <xdr:row>1</xdr:row>
      <xdr:rowOff>47625</xdr:rowOff>
    </xdr:from>
    <xdr:ext cx="4019550" cy="419100"/>
    <xdr:sp macro="" textlink="">
      <xdr:nvSpPr>
        <xdr:cNvPr id="7" name="TextBox 6">
          <a:extLst>
            <a:ext uri="{FF2B5EF4-FFF2-40B4-BE49-F238E27FC236}">
              <a16:creationId xmlns:a16="http://schemas.microsoft.com/office/drawing/2014/main" id="{42BD0144-8402-46E9-BAE8-F1C56D77CCD3}"/>
            </a:ext>
          </a:extLst>
        </xdr:cNvPr>
        <xdr:cNvSpPr txBox="1"/>
      </xdr:nvSpPr>
      <xdr:spPr>
        <a:xfrm>
          <a:off x="2609850" y="247650"/>
          <a:ext cx="401955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D" sz="1800" b="1">
              <a:solidFill>
                <a:schemeClr val="bg1"/>
              </a:solidFill>
            </a:rPr>
            <a:t>Coca</a:t>
          </a:r>
          <a:r>
            <a:rPr lang="en-ID" sz="1800" b="1" baseline="0">
              <a:solidFill>
                <a:schemeClr val="bg1"/>
              </a:solidFill>
            </a:rPr>
            <a:t>-Cola USA Retailer </a:t>
          </a:r>
          <a:r>
            <a:rPr lang="en-ID" sz="2000" b="1" baseline="0">
              <a:solidFill>
                <a:schemeClr val="bg1"/>
              </a:solidFill>
            </a:rPr>
            <a:t>Dashboard</a:t>
          </a:r>
          <a:endParaRPr lang="en-ID" sz="2000" b="1">
            <a:solidFill>
              <a:schemeClr val="bg1"/>
            </a:solidFill>
          </a:endParaRPr>
        </a:p>
      </xdr:txBody>
    </xdr:sp>
    <xdr:clientData/>
  </xdr:oneCellAnchor>
  <xdr:oneCellAnchor>
    <xdr:from>
      <xdr:col>2</xdr:col>
      <xdr:colOff>66675</xdr:colOff>
      <xdr:row>2</xdr:row>
      <xdr:rowOff>114300</xdr:rowOff>
    </xdr:from>
    <xdr:ext cx="4019550" cy="419100"/>
    <xdr:sp macro="" textlink="">
      <xdr:nvSpPr>
        <xdr:cNvPr id="8" name="TextBox 7">
          <a:extLst>
            <a:ext uri="{FF2B5EF4-FFF2-40B4-BE49-F238E27FC236}">
              <a16:creationId xmlns:a16="http://schemas.microsoft.com/office/drawing/2014/main" id="{492F1082-6D42-4867-9DB8-EB9EFC324ABD}"/>
            </a:ext>
          </a:extLst>
        </xdr:cNvPr>
        <xdr:cNvSpPr txBox="1"/>
      </xdr:nvSpPr>
      <xdr:spPr>
        <a:xfrm>
          <a:off x="2647950" y="514350"/>
          <a:ext cx="401955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D" sz="1200" b="0" i="1">
              <a:solidFill>
                <a:schemeClr val="bg1">
                  <a:lumMod val="50000"/>
                </a:schemeClr>
              </a:solidFill>
            </a:rPr>
            <a:t>Figures in USD</a:t>
          </a:r>
        </a:p>
      </xdr:txBody>
    </xdr:sp>
    <xdr:clientData/>
  </xdr:oneCellAnchor>
  <xdr:twoCellAnchor editAs="oneCell">
    <xdr:from>
      <xdr:col>0</xdr:col>
      <xdr:colOff>85726</xdr:colOff>
      <xdr:row>0</xdr:row>
      <xdr:rowOff>47623</xdr:rowOff>
    </xdr:from>
    <xdr:to>
      <xdr:col>0</xdr:col>
      <xdr:colOff>1685926</xdr:colOff>
      <xdr:row>5</xdr:row>
      <xdr:rowOff>68776</xdr:rowOff>
    </xdr:to>
    <xdr:pic>
      <xdr:nvPicPr>
        <xdr:cNvPr id="10" name="Picture 9">
          <a:extLst>
            <a:ext uri="{FF2B5EF4-FFF2-40B4-BE49-F238E27FC236}">
              <a16:creationId xmlns:a16="http://schemas.microsoft.com/office/drawing/2014/main" id="{50BE029A-3388-4699-8642-9D39AFFEEC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85726" y="47623"/>
          <a:ext cx="1600200" cy="1021278"/>
        </a:xfrm>
        <a:prstGeom prst="rect">
          <a:avLst/>
        </a:prstGeom>
      </xdr:spPr>
    </xdr:pic>
    <xdr:clientData/>
  </xdr:twoCellAnchor>
  <xdr:twoCellAnchor>
    <xdr:from>
      <xdr:col>10</xdr:col>
      <xdr:colOff>65484</xdr:colOff>
      <xdr:row>1</xdr:row>
      <xdr:rowOff>142874</xdr:rowOff>
    </xdr:from>
    <xdr:to>
      <xdr:col>10</xdr:col>
      <xdr:colOff>809625</xdr:colOff>
      <xdr:row>3</xdr:row>
      <xdr:rowOff>161924</xdr:rowOff>
    </xdr:to>
    <xdr:sp macro="" textlink="">
      <xdr:nvSpPr>
        <xdr:cNvPr id="15" name="Rectangle 14">
          <a:extLst>
            <a:ext uri="{FF2B5EF4-FFF2-40B4-BE49-F238E27FC236}">
              <a16:creationId xmlns:a16="http://schemas.microsoft.com/office/drawing/2014/main" id="{202D4179-37F1-4EAC-AC61-09EA1571D5A0}"/>
            </a:ext>
          </a:extLst>
        </xdr:cNvPr>
        <xdr:cNvSpPr/>
      </xdr:nvSpPr>
      <xdr:spPr>
        <a:xfrm>
          <a:off x="9525000" y="345280"/>
          <a:ext cx="744141" cy="42386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10</xdr:col>
      <xdr:colOff>104775</xdr:colOff>
      <xdr:row>1</xdr:row>
      <xdr:rowOff>174906</xdr:rowOff>
    </xdr:from>
    <xdr:to>
      <xdr:col>10</xdr:col>
      <xdr:colOff>781051</xdr:colOff>
      <xdr:row>3</xdr:row>
      <xdr:rowOff>122915</xdr:rowOff>
    </xdr:to>
    <xdr:pic>
      <xdr:nvPicPr>
        <xdr:cNvPr id="14" name="Picture 13">
          <a:extLst>
            <a:ext uri="{FF2B5EF4-FFF2-40B4-BE49-F238E27FC236}">
              <a16:creationId xmlns:a16="http://schemas.microsoft.com/office/drawing/2014/main" id="{3CEA0DB4-EA86-4849-A939-7A6BEE4B64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63100" y="374931"/>
          <a:ext cx="676276" cy="348059"/>
        </a:xfrm>
        <a:prstGeom prst="rect">
          <a:avLst/>
        </a:prstGeom>
      </xdr:spPr>
    </xdr:pic>
    <xdr:clientData/>
  </xdr:twoCellAnchor>
  <xdr:twoCellAnchor>
    <xdr:from>
      <xdr:col>2</xdr:col>
      <xdr:colOff>140369</xdr:colOff>
      <xdr:row>5</xdr:row>
      <xdr:rowOff>50130</xdr:rowOff>
    </xdr:from>
    <xdr:to>
      <xdr:col>3</xdr:col>
      <xdr:colOff>621632</xdr:colOff>
      <xdr:row>6</xdr:row>
      <xdr:rowOff>140368</xdr:rowOff>
    </xdr:to>
    <xdr:sp macro="" textlink="Sheet2!A4">
      <xdr:nvSpPr>
        <xdr:cNvPr id="16" name="Rectangle 15">
          <a:extLst>
            <a:ext uri="{FF2B5EF4-FFF2-40B4-BE49-F238E27FC236}">
              <a16:creationId xmlns:a16="http://schemas.microsoft.com/office/drawing/2014/main" id="{71275794-EC82-414B-8E66-61401897CFA0}"/>
            </a:ext>
          </a:extLst>
        </xdr:cNvPr>
        <xdr:cNvSpPr/>
      </xdr:nvSpPr>
      <xdr:spPr>
        <a:xfrm>
          <a:off x="2747211" y="1052762"/>
          <a:ext cx="1343526" cy="2907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64DA833-B43F-4F59-802C-0F069577026E}" type="TxLink">
            <a:rPr lang="en-US" sz="1800" b="1" i="0" u="none" strike="noStrike">
              <a:solidFill>
                <a:schemeClr val="bg1"/>
              </a:solidFill>
              <a:latin typeface="Calibri"/>
              <a:cs typeface="Calibri"/>
            </a:rPr>
            <a:pPr algn="ctr"/>
            <a:t>362.963</a:t>
          </a:fld>
          <a:endParaRPr lang="en-ID" sz="1600" b="1">
            <a:solidFill>
              <a:schemeClr val="bg1"/>
            </a:solidFill>
          </a:endParaRPr>
        </a:p>
      </xdr:txBody>
    </xdr:sp>
    <xdr:clientData/>
  </xdr:twoCellAnchor>
  <xdr:twoCellAnchor>
    <xdr:from>
      <xdr:col>4</xdr:col>
      <xdr:colOff>170449</xdr:colOff>
      <xdr:row>5</xdr:row>
      <xdr:rowOff>50130</xdr:rowOff>
    </xdr:from>
    <xdr:to>
      <xdr:col>5</xdr:col>
      <xdr:colOff>651711</xdr:colOff>
      <xdr:row>6</xdr:row>
      <xdr:rowOff>140368</xdr:rowOff>
    </xdr:to>
    <xdr:sp macro="" textlink="Sheet2!B4">
      <xdr:nvSpPr>
        <xdr:cNvPr id="17" name="Rectangle 16">
          <a:extLst>
            <a:ext uri="{FF2B5EF4-FFF2-40B4-BE49-F238E27FC236}">
              <a16:creationId xmlns:a16="http://schemas.microsoft.com/office/drawing/2014/main" id="{3B6981FC-E4D9-4B3B-8228-47EDDADE98CC}"/>
            </a:ext>
          </a:extLst>
        </xdr:cNvPr>
        <xdr:cNvSpPr/>
      </xdr:nvSpPr>
      <xdr:spPr>
        <a:xfrm>
          <a:off x="4501817" y="1052762"/>
          <a:ext cx="1343526" cy="2907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3760A66-405F-4176-8630-5F2204700F35}" type="TxLink">
            <a:rPr lang="en-US" sz="1800" b="1" i="0" u="none" strike="noStrike">
              <a:solidFill>
                <a:schemeClr val="bg1"/>
              </a:solidFill>
              <a:latin typeface="Calibri"/>
              <a:cs typeface="Calibri"/>
            </a:rPr>
            <a:t>903.220</a:t>
          </a:fld>
          <a:endParaRPr lang="en-ID" sz="1800" b="1">
            <a:solidFill>
              <a:schemeClr val="bg1"/>
            </a:solidFill>
          </a:endParaRPr>
        </a:p>
      </xdr:txBody>
    </xdr:sp>
    <xdr:clientData/>
  </xdr:twoCellAnchor>
  <xdr:twoCellAnchor>
    <xdr:from>
      <xdr:col>7</xdr:col>
      <xdr:colOff>110290</xdr:colOff>
      <xdr:row>5</xdr:row>
      <xdr:rowOff>30078</xdr:rowOff>
    </xdr:from>
    <xdr:to>
      <xdr:col>8</xdr:col>
      <xdr:colOff>591553</xdr:colOff>
      <xdr:row>6</xdr:row>
      <xdr:rowOff>120316</xdr:rowOff>
    </xdr:to>
    <xdr:sp macro="" textlink="Sheet2!C4">
      <xdr:nvSpPr>
        <xdr:cNvPr id="18" name="Rectangle 17">
          <a:extLst>
            <a:ext uri="{FF2B5EF4-FFF2-40B4-BE49-F238E27FC236}">
              <a16:creationId xmlns:a16="http://schemas.microsoft.com/office/drawing/2014/main" id="{92CF98BE-9939-44F8-AC00-AB1CA44F1F12}"/>
            </a:ext>
          </a:extLst>
        </xdr:cNvPr>
        <xdr:cNvSpPr/>
      </xdr:nvSpPr>
      <xdr:spPr>
        <a:xfrm>
          <a:off x="7028448" y="1032710"/>
          <a:ext cx="1343526" cy="2907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4093894-A585-490A-9D27-35BBCB61E93B}" type="TxLink">
            <a:rPr lang="en-US" sz="1800" b="1" i="0" u="none" strike="noStrike">
              <a:solidFill>
                <a:schemeClr val="bg1"/>
              </a:solidFill>
              <a:latin typeface="Calibri"/>
              <a:cs typeface="Calibri"/>
            </a:rPr>
            <a:t>$0,38</a:t>
          </a:fld>
          <a:endParaRPr lang="en-ID" sz="1800" b="1" i="0" u="none" strike="noStrike">
            <a:solidFill>
              <a:schemeClr val="bg1"/>
            </a:solidFill>
            <a:latin typeface="Calibri"/>
            <a:cs typeface="Calibri"/>
          </a:endParaRPr>
        </a:p>
      </xdr:txBody>
    </xdr:sp>
    <xdr:clientData/>
  </xdr:twoCellAnchor>
  <xdr:twoCellAnchor>
    <xdr:from>
      <xdr:col>9</xdr:col>
      <xdr:colOff>260685</xdr:colOff>
      <xdr:row>5</xdr:row>
      <xdr:rowOff>20052</xdr:rowOff>
    </xdr:from>
    <xdr:to>
      <xdr:col>10</xdr:col>
      <xdr:colOff>741948</xdr:colOff>
      <xdr:row>6</xdr:row>
      <xdr:rowOff>110290</xdr:rowOff>
    </xdr:to>
    <xdr:sp macro="" textlink="Sheet2!D4">
      <xdr:nvSpPr>
        <xdr:cNvPr id="19" name="Rectangle 18">
          <a:extLst>
            <a:ext uri="{FF2B5EF4-FFF2-40B4-BE49-F238E27FC236}">
              <a16:creationId xmlns:a16="http://schemas.microsoft.com/office/drawing/2014/main" id="{846A4D1B-BC42-4E15-BA47-E06380DBA205}"/>
            </a:ext>
          </a:extLst>
        </xdr:cNvPr>
        <xdr:cNvSpPr/>
      </xdr:nvSpPr>
      <xdr:spPr>
        <a:xfrm>
          <a:off x="8903369" y="1022684"/>
          <a:ext cx="1343526" cy="2907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F79EFAE-A3A2-4408-A1D5-5F65B52C7F01}" type="TxLink">
            <a:rPr lang="en-US" sz="1800" b="1" i="0" u="none" strike="noStrike">
              <a:solidFill>
                <a:schemeClr val="bg1"/>
              </a:solidFill>
              <a:latin typeface="Calibri"/>
              <a:cs typeface="Calibri"/>
            </a:rPr>
            <a:t>149477,231</a:t>
          </a:fld>
          <a:endParaRPr lang="en-ID" sz="1800" b="1" i="0" u="none" strike="noStrike">
            <a:solidFill>
              <a:schemeClr val="bg1"/>
            </a:solidFill>
            <a:latin typeface="Calibri"/>
            <a:cs typeface="Calibri"/>
          </a:endParaRPr>
        </a:p>
      </xdr:txBody>
    </xdr:sp>
    <xdr:clientData/>
  </xdr:twoCellAnchor>
  <xdr:oneCellAnchor>
    <xdr:from>
      <xdr:col>1</xdr:col>
      <xdr:colOff>813135</xdr:colOff>
      <xdr:row>4</xdr:row>
      <xdr:rowOff>103271</xdr:rowOff>
    </xdr:from>
    <xdr:ext cx="4019550" cy="227597"/>
    <xdr:sp macro="" textlink="">
      <xdr:nvSpPr>
        <xdr:cNvPr id="20" name="TextBox 19">
          <a:extLst>
            <a:ext uri="{FF2B5EF4-FFF2-40B4-BE49-F238E27FC236}">
              <a16:creationId xmlns:a16="http://schemas.microsoft.com/office/drawing/2014/main" id="{A15DF31F-7B19-4B60-A5C5-BD846A661297}"/>
            </a:ext>
          </a:extLst>
        </xdr:cNvPr>
        <xdr:cNvSpPr txBox="1"/>
      </xdr:nvSpPr>
      <xdr:spPr>
        <a:xfrm>
          <a:off x="2557714" y="905376"/>
          <a:ext cx="4019550" cy="227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D" sz="1200" b="1" i="1">
              <a:solidFill>
                <a:schemeClr val="bg1"/>
              </a:solidFill>
            </a:rPr>
            <a:t>Total Sales</a:t>
          </a:r>
        </a:p>
      </xdr:txBody>
    </xdr:sp>
    <xdr:clientData/>
  </xdr:oneCellAnchor>
  <xdr:oneCellAnchor>
    <xdr:from>
      <xdr:col>3</xdr:col>
      <xdr:colOff>855246</xdr:colOff>
      <xdr:row>4</xdr:row>
      <xdr:rowOff>85224</xdr:rowOff>
    </xdr:from>
    <xdr:ext cx="4019550" cy="227597"/>
    <xdr:sp macro="" textlink="">
      <xdr:nvSpPr>
        <xdr:cNvPr id="21" name="TextBox 20">
          <a:extLst>
            <a:ext uri="{FF2B5EF4-FFF2-40B4-BE49-F238E27FC236}">
              <a16:creationId xmlns:a16="http://schemas.microsoft.com/office/drawing/2014/main" id="{3940C051-B08C-4E05-BAE0-95AB7558A91F}"/>
            </a:ext>
          </a:extLst>
        </xdr:cNvPr>
        <xdr:cNvSpPr txBox="1"/>
      </xdr:nvSpPr>
      <xdr:spPr>
        <a:xfrm>
          <a:off x="4324351" y="887329"/>
          <a:ext cx="4019550" cy="227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D" sz="1200" b="1" i="1">
              <a:solidFill>
                <a:schemeClr val="bg1"/>
              </a:solidFill>
              <a:latin typeface="+mn-lt"/>
              <a:ea typeface="+mn-ea"/>
              <a:cs typeface="+mn-cs"/>
            </a:rPr>
            <a:t>Unit Sold</a:t>
          </a:r>
        </a:p>
      </xdr:txBody>
    </xdr:sp>
    <xdr:clientData/>
  </xdr:oneCellAnchor>
  <xdr:oneCellAnchor>
    <xdr:from>
      <xdr:col>6</xdr:col>
      <xdr:colOff>835193</xdr:colOff>
      <xdr:row>4</xdr:row>
      <xdr:rowOff>85224</xdr:rowOff>
    </xdr:from>
    <xdr:ext cx="4019550" cy="227597"/>
    <xdr:sp macro="" textlink="">
      <xdr:nvSpPr>
        <xdr:cNvPr id="22" name="TextBox 21">
          <a:extLst>
            <a:ext uri="{FF2B5EF4-FFF2-40B4-BE49-F238E27FC236}">
              <a16:creationId xmlns:a16="http://schemas.microsoft.com/office/drawing/2014/main" id="{38F9FACD-D411-4E77-A7C8-1944E59C483A}"/>
            </a:ext>
          </a:extLst>
        </xdr:cNvPr>
        <xdr:cNvSpPr txBox="1"/>
      </xdr:nvSpPr>
      <xdr:spPr>
        <a:xfrm>
          <a:off x="6891088" y="887329"/>
          <a:ext cx="4019550" cy="227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D" sz="1200" b="1" i="1">
              <a:solidFill>
                <a:schemeClr val="bg1"/>
              </a:solidFill>
              <a:latin typeface="+mn-lt"/>
              <a:ea typeface="+mn-ea"/>
              <a:cs typeface="+mn-cs"/>
            </a:rPr>
            <a:t>Unit Sold</a:t>
          </a:r>
        </a:p>
      </xdr:txBody>
    </xdr:sp>
    <xdr:clientData/>
  </xdr:oneCellAnchor>
  <xdr:oneCellAnchor>
    <xdr:from>
      <xdr:col>9</xdr:col>
      <xdr:colOff>83219</xdr:colOff>
      <xdr:row>4</xdr:row>
      <xdr:rowOff>85224</xdr:rowOff>
    </xdr:from>
    <xdr:ext cx="4019550" cy="227597"/>
    <xdr:sp macro="" textlink="">
      <xdr:nvSpPr>
        <xdr:cNvPr id="23" name="TextBox 22">
          <a:extLst>
            <a:ext uri="{FF2B5EF4-FFF2-40B4-BE49-F238E27FC236}">
              <a16:creationId xmlns:a16="http://schemas.microsoft.com/office/drawing/2014/main" id="{04A3EE1C-7806-4177-9AA0-B063CD18836E}"/>
            </a:ext>
          </a:extLst>
        </xdr:cNvPr>
        <xdr:cNvSpPr txBox="1"/>
      </xdr:nvSpPr>
      <xdr:spPr>
        <a:xfrm>
          <a:off x="8725903" y="887329"/>
          <a:ext cx="4019550" cy="227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D" sz="1200" b="1" i="1">
              <a:solidFill>
                <a:schemeClr val="bg1"/>
              </a:solidFill>
            </a:rPr>
            <a:t>Unit</a:t>
          </a:r>
          <a:r>
            <a:rPr lang="en-ID" sz="1200" b="1" i="1" baseline="0">
              <a:solidFill>
                <a:schemeClr val="bg1"/>
              </a:solidFill>
            </a:rPr>
            <a:t> Sold</a:t>
          </a:r>
          <a:endParaRPr lang="en-ID" sz="1200" b="1" i="1">
            <a:solidFill>
              <a:schemeClr val="bg1"/>
            </a:solidFill>
          </a:endParaRPr>
        </a:p>
      </xdr:txBody>
    </xdr:sp>
    <xdr:clientData/>
  </xdr:oneCellAnchor>
  <xdr:twoCellAnchor>
    <xdr:from>
      <xdr:col>2</xdr:col>
      <xdr:colOff>10025</xdr:colOff>
      <xdr:row>20</xdr:row>
      <xdr:rowOff>10027</xdr:rowOff>
    </xdr:from>
    <xdr:to>
      <xdr:col>10</xdr:col>
      <xdr:colOff>852237</xdr:colOff>
      <xdr:row>33</xdr:row>
      <xdr:rowOff>146385</xdr:rowOff>
    </xdr:to>
    <xdr:graphicFrame macro="">
      <xdr:nvGraphicFramePr>
        <xdr:cNvPr id="24" name="Chart 23">
          <a:extLst>
            <a:ext uri="{FF2B5EF4-FFF2-40B4-BE49-F238E27FC236}">
              <a16:creationId xmlns:a16="http://schemas.microsoft.com/office/drawing/2014/main" id="{9211991D-9474-4519-90C8-8DBFF0F49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80211</xdr:colOff>
      <xdr:row>5</xdr:row>
      <xdr:rowOff>190500</xdr:rowOff>
    </xdr:from>
    <xdr:to>
      <xdr:col>0</xdr:col>
      <xdr:colOff>1634289</xdr:colOff>
      <xdr:row>15</xdr:row>
      <xdr:rowOff>40105</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6CBFB69F-D8F1-46DD-A9C7-C97C46805E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211" y="1193132"/>
              <a:ext cx="1554078" cy="185486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80210</xdr:colOff>
      <xdr:row>16</xdr:row>
      <xdr:rowOff>40105</xdr:rowOff>
    </xdr:from>
    <xdr:to>
      <xdr:col>0</xdr:col>
      <xdr:colOff>1634289</xdr:colOff>
      <xdr:row>21</xdr:row>
      <xdr:rowOff>53887</xdr:rowOff>
    </xdr:to>
    <mc:AlternateContent xmlns:mc="http://schemas.openxmlformats.org/markup-compatibility/2006">
      <mc:Choice xmlns:a14="http://schemas.microsoft.com/office/drawing/2010/main" Requires="a14">
        <xdr:graphicFrame macro="">
          <xdr:nvGraphicFramePr>
            <xdr:cNvPr id="26" name="Years">
              <a:extLst>
                <a:ext uri="{FF2B5EF4-FFF2-40B4-BE49-F238E27FC236}">
                  <a16:creationId xmlns:a16="http://schemas.microsoft.com/office/drawing/2014/main" id="{6D42A012-06B7-412B-BB79-58A5EB211B5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80210" y="3248526"/>
              <a:ext cx="1554079" cy="101641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22059</xdr:colOff>
      <xdr:row>21</xdr:row>
      <xdr:rowOff>142373</xdr:rowOff>
    </xdr:from>
    <xdr:to>
      <xdr:col>0</xdr:col>
      <xdr:colOff>1674395</xdr:colOff>
      <xdr:row>23</xdr:row>
      <xdr:rowOff>32085</xdr:rowOff>
    </xdr:to>
    <xdr:sp macro="" textlink="">
      <xdr:nvSpPr>
        <xdr:cNvPr id="27" name="Rectangle 26">
          <a:extLst>
            <a:ext uri="{FF2B5EF4-FFF2-40B4-BE49-F238E27FC236}">
              <a16:creationId xmlns:a16="http://schemas.microsoft.com/office/drawing/2014/main" id="{955D9929-A664-4240-A8C9-6E18ECFF67E6}"/>
            </a:ext>
          </a:extLst>
        </xdr:cNvPr>
        <xdr:cNvSpPr/>
      </xdr:nvSpPr>
      <xdr:spPr>
        <a:xfrm>
          <a:off x="22059" y="4353426"/>
          <a:ext cx="1652336" cy="2907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bg1"/>
              </a:solidFill>
              <a:latin typeface="Calibri"/>
              <a:cs typeface="Calibri"/>
            </a:rPr>
            <a:t>Last</a:t>
          </a:r>
          <a:r>
            <a:rPr lang="en-US" sz="1200" b="1" i="0" u="none" strike="noStrike" baseline="0">
              <a:solidFill>
                <a:schemeClr val="bg1"/>
              </a:solidFill>
              <a:latin typeface="Calibri"/>
              <a:cs typeface="Calibri"/>
            </a:rPr>
            <a:t> Update Jan 2025</a:t>
          </a:r>
          <a:endParaRPr lang="en-US" sz="1200" b="1" i="0" u="none" strike="noStrike">
            <a:solidFill>
              <a:schemeClr val="bg1"/>
            </a:solidFill>
            <a:latin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65.824247800927" createdVersion="6" refreshedVersion="6" minRefreshableVersion="3" recordCount="9648" xr:uid="{A9EF86F8-B3EC-4F7F-9579-40921AE55C91}">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545175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8823F5-32B7-4594-87EC-CD0729699F3A}" name="PivotTable6" cacheId="15"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26:D35" firstHeaderRow="0" firstDataRow="1" firstDataCol="2"/>
  <pivotFields count="14">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3"/>
    <field x="12"/>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dataField name="Average of Operating Margin" fld="11"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1E1B08-3196-44EC-A664-F7A606161971}" name="PivotTable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D24" firstHeaderRow="1" firstDataRow="2"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h="1" x="3"/>
        <item h="1" x="0"/>
        <item x="1"/>
        <item h="1" x="4"/>
        <item h="1"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407273-33A1-425C-B2FB-DECF5CCE9B5E}"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D14"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h="1" x="3"/>
        <item h="1" x="0"/>
        <item x="1"/>
        <item h="1" x="4"/>
        <item h="1"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292431-84FF-4534-A6FD-E3C5D9FD6008}"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h="1" x="3"/>
        <item h="1" x="0"/>
        <item x="1"/>
        <item h="1" x="4"/>
        <item h="1"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7">
        <item x="0"/>
        <item x="1"/>
        <item x="2"/>
        <item x="3"/>
        <item x="4"/>
        <item x="5"/>
        <item t="default"/>
      </items>
    </pivotField>
    <pivotField showAll="0">
      <items count="6">
        <item h="1" x="0"/>
        <item x="1"/>
        <item h="1" x="2"/>
        <item h="1" x="3"/>
        <item h="1"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71"/>
    <dataField name="Sum of Operating Profit" fld="10" baseField="0" baseItem="0"/>
  </dataFields>
  <formats count="2">
    <format dxfId="8">
      <pivotArea outline="0" collapsedLevelsAreSubtotals="1" fieldPosition="0">
        <references count="1">
          <reference field="4294967294" count="2" selected="0">
            <x v="0"/>
            <x v="1"/>
          </reference>
        </references>
      </pivotArea>
    </format>
    <format dxfId="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83EA7D-4FB7-4B56-8330-428F0D664FB3}" sourceName="Region">
  <pivotTables>
    <pivotTable tabId="9" name="PivotTable3"/>
    <pivotTable tabId="9" name="PivotTable4"/>
    <pivotTable tabId="9" name="PivotTable5"/>
  </pivotTables>
  <data>
    <tabular pivotCacheId="545175127">
      <items count="5">
        <i x="3"/>
        <i x="0"/>
        <i x="1" s="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11CCB052-E6F0-41DC-941F-E890D827737E}" sourceName="Years">
  <pivotTables>
    <pivotTable tabId="9" name="PivotTable3"/>
  </pivotTables>
  <data>
    <tabular pivotCacheId="545175127">
      <items count="5">
        <i x="1" s="1"/>
        <i x="2"/>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BF866AD-037D-4C7B-A7D2-CADCEA988379}" cache="Slicer_Region" caption="Region" rowHeight="257175"/>
  <slicer name="Years" xr10:uid="{DE94071E-0DF4-43FF-8836-102F1F2AE158}" cache="Slicer_Years" caption="Year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46" dataDxfId="45" tableBorderDxfId="44">
  <autoFilter ref="B4:M9652" xr:uid="{241C6583-A395-494F-B34A-BA98EEB4132C}"/>
  <tableColumns count="12">
    <tableColumn id="1" xr3:uid="{72C602C4-76C4-4A75-933A-FDC9591C1526}" name="Retailer" dataDxfId="43"/>
    <tableColumn id="2" xr3:uid="{725FD838-82AA-427A-9CE2-6C04110A316D}" name="Retailer ID" dataDxfId="42"/>
    <tableColumn id="3" xr3:uid="{9C123582-20EA-467F-A5ED-8224D6001C00}" name="Invoice Date" dataDxfId="41"/>
    <tableColumn id="4" xr3:uid="{134DBAE7-3279-40E6-98D9-CBECFFFB85D5}" name="Region" dataDxfId="40"/>
    <tableColumn id="5" xr3:uid="{C2E2A540-5264-40E1-8C95-F5F8159FEF6D}" name="State" dataDxfId="39"/>
    <tableColumn id="6" xr3:uid="{6DD89386-635C-40C8-9606-F930BAB18D98}" name="City" dataDxfId="38"/>
    <tableColumn id="7" xr3:uid="{79044A14-8C29-4B84-AA06-8282B70BA02E}" name="Beverage Brand" dataDxfId="37"/>
    <tableColumn id="8" xr3:uid="{A75130C6-6732-4DA3-A42A-8ECCD7E66F61}" name="Price per Unit" dataDxfId="36"/>
    <tableColumn id="9" xr3:uid="{3E7FDD09-C8F4-41A0-8B3E-09F0A7E4D8AD}" name="Units Sold" dataDxfId="35"/>
    <tableColumn id="10" xr3:uid="{521D1DF4-DD00-4778-9BB1-91E31DADFF87}" name="Total Sales" dataDxfId="34"/>
    <tableColumn id="11" xr3:uid="{94400550-7002-4F21-A27B-497430EA373F}" name="Operating Profit" dataDxfId="33"/>
    <tableColumn id="12" xr3:uid="{2526BB74-C8C1-4549-9ED9-43B205AA3AC6}" name="Operating Margin" dataDxfId="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ECC9-5A46-48C7-9A38-239C93010D39}">
  <dimension ref="A3:H35"/>
  <sheetViews>
    <sheetView zoomScale="69" zoomScaleNormal="69" workbookViewId="0">
      <selection activeCell="C17" sqref="C17"/>
    </sheetView>
  </sheetViews>
  <sheetFormatPr defaultRowHeight="15.75" x14ac:dyDescent="0.25"/>
  <cols>
    <col min="1" max="1" width="16.625" bestFit="1" customWidth="1"/>
    <col min="2" max="2" width="16.125" bestFit="1" customWidth="1"/>
    <col min="3" max="3" width="22.75" bestFit="1" customWidth="1"/>
    <col min="4" max="4" width="21.75" bestFit="1" customWidth="1"/>
    <col min="5" max="5" width="15.5" bestFit="1" customWidth="1"/>
    <col min="6" max="6" width="21.75" bestFit="1" customWidth="1"/>
    <col min="7" max="7" width="20.5" bestFit="1" customWidth="1"/>
    <col min="8" max="8" width="8.875" bestFit="1" customWidth="1"/>
    <col min="9" max="9" width="9.625" bestFit="1" customWidth="1"/>
    <col min="10" max="10" width="8.875" bestFit="1" customWidth="1"/>
    <col min="11" max="11" width="7.875" bestFit="1" customWidth="1"/>
    <col min="12" max="12" width="8.875" bestFit="1" customWidth="1"/>
    <col min="13" max="13" width="9.625" bestFit="1" customWidth="1"/>
    <col min="14" max="14" width="8.875" bestFit="1" customWidth="1"/>
    <col min="15" max="15" width="7.875" bestFit="1" customWidth="1"/>
    <col min="16" max="16" width="8.875" bestFit="1" customWidth="1"/>
    <col min="17" max="17" width="9.625" bestFit="1" customWidth="1"/>
    <col min="18" max="18" width="9.875" bestFit="1" customWidth="1"/>
    <col min="19" max="21" width="8.875" bestFit="1" customWidth="1"/>
    <col min="22" max="22" width="9.875" bestFit="1" customWidth="1"/>
    <col min="23" max="25" width="8.875" bestFit="1" customWidth="1"/>
    <col min="26" max="27" width="9.875" bestFit="1" customWidth="1"/>
    <col min="28" max="29" width="8.875" bestFit="1" customWidth="1"/>
    <col min="30" max="30" width="9.875" bestFit="1" customWidth="1"/>
    <col min="31" max="33" width="8.875" bestFit="1" customWidth="1"/>
    <col min="34" max="35" width="9.875" bestFit="1" customWidth="1"/>
    <col min="36" max="36" width="11" bestFit="1" customWidth="1"/>
    <col min="37" max="725" width="10.625" bestFit="1" customWidth="1"/>
    <col min="726" max="726" width="11" bestFit="1" customWidth="1"/>
  </cols>
  <sheetData>
    <row r="3" spans="1:4" x14ac:dyDescent="0.25">
      <c r="A3" t="s">
        <v>139</v>
      </c>
      <c r="B3" t="s">
        <v>140</v>
      </c>
      <c r="C3" t="s">
        <v>141</v>
      </c>
      <c r="D3" t="s">
        <v>142</v>
      </c>
    </row>
    <row r="4" spans="1:4" x14ac:dyDescent="0.25">
      <c r="A4" s="18">
        <v>362963.20000000013</v>
      </c>
      <c r="B4" s="18">
        <v>903220</v>
      </c>
      <c r="C4" s="21">
        <v>0.38263888888888886</v>
      </c>
      <c r="D4" s="15">
        <v>149477.231</v>
      </c>
    </row>
    <row r="6" spans="1:4" x14ac:dyDescent="0.25">
      <c r="A6" s="16" t="s">
        <v>139</v>
      </c>
      <c r="B6" s="16" t="s">
        <v>145</v>
      </c>
    </row>
    <row r="7" spans="1:4" x14ac:dyDescent="0.25">
      <c r="A7" s="16" t="s">
        <v>143</v>
      </c>
      <c r="B7" t="s">
        <v>146</v>
      </c>
      <c r="C7" t="s">
        <v>147</v>
      </c>
      <c r="D7" t="s">
        <v>144</v>
      </c>
    </row>
    <row r="8" spans="1:4" x14ac:dyDescent="0.25">
      <c r="A8" s="17" t="s">
        <v>14</v>
      </c>
      <c r="B8" s="15">
        <v>60320.999999999993</v>
      </c>
      <c r="C8" s="15">
        <v>344505.1</v>
      </c>
      <c r="D8" s="15">
        <v>404826.1</v>
      </c>
    </row>
    <row r="9" spans="1:4" x14ac:dyDescent="0.25">
      <c r="A9" s="17" t="s">
        <v>19</v>
      </c>
      <c r="B9" s="15">
        <v>71477.899999999994</v>
      </c>
      <c r="C9" s="15">
        <v>351015.79999999993</v>
      </c>
      <c r="D9" s="15">
        <v>422493.69999999995</v>
      </c>
    </row>
    <row r="10" spans="1:4" x14ac:dyDescent="0.25">
      <c r="A10" s="17" t="s">
        <v>15</v>
      </c>
      <c r="B10" s="15">
        <v>68447.199999999997</v>
      </c>
      <c r="C10" s="15">
        <v>296257.30000000005</v>
      </c>
      <c r="D10" s="15">
        <v>364704.50000000006</v>
      </c>
    </row>
    <row r="11" spans="1:4" x14ac:dyDescent="0.25">
      <c r="A11" s="17" t="s">
        <v>17</v>
      </c>
      <c r="B11" s="15">
        <v>51799.900000000009</v>
      </c>
      <c r="C11" s="15">
        <v>211109.80000000005</v>
      </c>
      <c r="D11" s="15">
        <v>262909.70000000007</v>
      </c>
    </row>
    <row r="12" spans="1:4" x14ac:dyDescent="0.25">
      <c r="A12" s="17" t="s">
        <v>18</v>
      </c>
      <c r="B12" s="15">
        <v>47181.9</v>
      </c>
      <c r="C12" s="15">
        <v>233937.49999999997</v>
      </c>
      <c r="D12" s="15">
        <v>281119.39999999997</v>
      </c>
    </row>
    <row r="13" spans="1:4" x14ac:dyDescent="0.25">
      <c r="A13" s="17" t="s">
        <v>16</v>
      </c>
      <c r="B13" s="15">
        <v>63735.3</v>
      </c>
      <c r="C13" s="15">
        <v>260546.89999999997</v>
      </c>
      <c r="D13" s="15">
        <v>324282.19999999995</v>
      </c>
    </row>
    <row r="14" spans="1:4" x14ac:dyDescent="0.25">
      <c r="A14" s="17" t="s">
        <v>144</v>
      </c>
      <c r="B14" s="15">
        <v>362963.20000000001</v>
      </c>
      <c r="C14" s="15">
        <v>1697372.4</v>
      </c>
      <c r="D14" s="15">
        <v>2060335.5999999999</v>
      </c>
    </row>
    <row r="16" spans="1:4" x14ac:dyDescent="0.25">
      <c r="A16" s="16" t="s">
        <v>139</v>
      </c>
      <c r="B16" s="16" t="s">
        <v>145</v>
      </c>
    </row>
    <row r="17" spans="1:8" x14ac:dyDescent="0.25">
      <c r="A17" s="16" t="s">
        <v>143</v>
      </c>
      <c r="B17" t="s">
        <v>146</v>
      </c>
      <c r="C17" t="s">
        <v>147</v>
      </c>
      <c r="D17" t="s">
        <v>144</v>
      </c>
    </row>
    <row r="18" spans="1:8" x14ac:dyDescent="0.25">
      <c r="A18" s="17" t="s">
        <v>130</v>
      </c>
      <c r="B18" s="15">
        <v>27325</v>
      </c>
      <c r="C18" s="15">
        <v>5809.1</v>
      </c>
      <c r="D18" s="15">
        <v>33134.1</v>
      </c>
    </row>
    <row r="19" spans="1:8" x14ac:dyDescent="0.25">
      <c r="A19" s="17" t="s">
        <v>20</v>
      </c>
      <c r="B19" s="15"/>
      <c r="C19" s="15">
        <v>132245</v>
      </c>
      <c r="D19" s="15">
        <v>132245</v>
      </c>
    </row>
    <row r="20" spans="1:8" x14ac:dyDescent="0.25">
      <c r="A20" s="17" t="s">
        <v>127</v>
      </c>
      <c r="B20" s="15">
        <v>41267.9</v>
      </c>
      <c r="C20" s="15">
        <v>860704.2</v>
      </c>
      <c r="D20" s="15">
        <v>901972.1</v>
      </c>
    </row>
    <row r="21" spans="1:8" x14ac:dyDescent="0.25">
      <c r="A21" s="17" t="s">
        <v>129</v>
      </c>
      <c r="B21" s="15"/>
      <c r="C21" s="15">
        <v>50668.000000000007</v>
      </c>
      <c r="D21" s="15">
        <v>50668.000000000007</v>
      </c>
    </row>
    <row r="22" spans="1:8" x14ac:dyDescent="0.25">
      <c r="A22" s="17" t="s">
        <v>126</v>
      </c>
      <c r="B22" s="15">
        <v>273562.00000000006</v>
      </c>
      <c r="C22" s="15">
        <v>197706.29999999996</v>
      </c>
      <c r="D22" s="15">
        <v>471268.30000000005</v>
      </c>
    </row>
    <row r="23" spans="1:8" x14ac:dyDescent="0.25">
      <c r="A23" s="17" t="s">
        <v>128</v>
      </c>
      <c r="B23" s="15">
        <v>20808.3</v>
      </c>
      <c r="C23" s="15">
        <v>450239.8</v>
      </c>
      <c r="D23" s="15">
        <v>471048.1</v>
      </c>
    </row>
    <row r="24" spans="1:8" x14ac:dyDescent="0.25">
      <c r="A24" s="17" t="s">
        <v>144</v>
      </c>
      <c r="B24" s="15">
        <v>362963.20000000001</v>
      </c>
      <c r="C24" s="15">
        <v>1697372.4000000001</v>
      </c>
      <c r="D24" s="15">
        <v>2060335.6</v>
      </c>
    </row>
    <row r="26" spans="1:8" x14ac:dyDescent="0.25">
      <c r="A26" s="16" t="s">
        <v>153</v>
      </c>
      <c r="B26" s="16" t="s">
        <v>154</v>
      </c>
      <c r="C26" t="s">
        <v>139</v>
      </c>
      <c r="D26" t="s">
        <v>152</v>
      </c>
    </row>
    <row r="27" spans="1:8" x14ac:dyDescent="0.25">
      <c r="A27" t="s">
        <v>146</v>
      </c>
      <c r="B27" t="s">
        <v>148</v>
      </c>
      <c r="C27" s="15">
        <v>692776.09999999986</v>
      </c>
      <c r="D27" s="15">
        <v>0.40174683544303763</v>
      </c>
      <c r="E27" t="str">
        <f>A27</f>
        <v>2022</v>
      </c>
      <c r="F27" t="str">
        <f t="shared" ref="F27:H27" si="0">B27</f>
        <v>Qtr1</v>
      </c>
      <c r="G27">
        <f t="shared" si="0"/>
        <v>692776.09999999986</v>
      </c>
      <c r="H27">
        <f t="shared" si="0"/>
        <v>0.40174683544303763</v>
      </c>
    </row>
    <row r="28" spans="1:8" x14ac:dyDescent="0.25">
      <c r="B28" t="s">
        <v>149</v>
      </c>
      <c r="C28" s="15">
        <v>644203.89999999932</v>
      </c>
      <c r="D28" s="15">
        <v>0.40000000000000013</v>
      </c>
      <c r="F28" t="str">
        <f t="shared" ref="F28:F34" si="1">B28</f>
        <v>Qtr2</v>
      </c>
      <c r="G28">
        <f t="shared" ref="G28:G34" si="2">C28</f>
        <v>644203.89999999932</v>
      </c>
      <c r="H28">
        <f t="shared" ref="H28:H34" si="3">D28</f>
        <v>0.40000000000000013</v>
      </c>
    </row>
    <row r="29" spans="1:8" x14ac:dyDescent="0.25">
      <c r="B29" t="s">
        <v>150</v>
      </c>
      <c r="C29" s="15">
        <v>719170.39999999979</v>
      </c>
      <c r="D29" s="15">
        <v>0.41026548672566376</v>
      </c>
      <c r="F29" t="str">
        <f t="shared" si="1"/>
        <v>Qtr3</v>
      </c>
      <c r="G29">
        <f t="shared" si="2"/>
        <v>719170.39999999979</v>
      </c>
      <c r="H29">
        <f t="shared" si="3"/>
        <v>0.41026548672566376</v>
      </c>
    </row>
    <row r="30" spans="1:8" x14ac:dyDescent="0.25">
      <c r="B30" t="s">
        <v>151</v>
      </c>
      <c r="C30" s="15">
        <v>367582.10000000015</v>
      </c>
      <c r="D30" s="15">
        <v>0.40243816254416953</v>
      </c>
      <c r="F30" t="str">
        <f t="shared" si="1"/>
        <v>Qtr4</v>
      </c>
      <c r="G30">
        <f t="shared" si="2"/>
        <v>367582.10000000015</v>
      </c>
      <c r="H30">
        <f t="shared" si="3"/>
        <v>0.40243816254416953</v>
      </c>
    </row>
    <row r="31" spans="1:8" x14ac:dyDescent="0.25">
      <c r="A31" t="s">
        <v>147</v>
      </c>
      <c r="B31" t="s">
        <v>148</v>
      </c>
      <c r="C31" s="15">
        <v>1877584.300000001</v>
      </c>
      <c r="D31" s="15">
        <v>0.41657045009784782</v>
      </c>
      <c r="E31" t="str">
        <f t="shared" ref="E28:E34" si="4">A31</f>
        <v>2023</v>
      </c>
      <c r="F31" t="str">
        <f t="shared" si="1"/>
        <v>Qtr1</v>
      </c>
      <c r="G31">
        <f t="shared" si="2"/>
        <v>1877584.300000001</v>
      </c>
      <c r="H31">
        <f t="shared" si="3"/>
        <v>0.41657045009784782</v>
      </c>
    </row>
    <row r="32" spans="1:8" x14ac:dyDescent="0.25">
      <c r="B32" t="s">
        <v>149</v>
      </c>
      <c r="C32" s="15">
        <v>2379424.800000004</v>
      </c>
      <c r="D32" s="15">
        <v>0.42755819477434692</v>
      </c>
      <c r="F32" t="str">
        <f t="shared" si="1"/>
        <v>Qtr2</v>
      </c>
      <c r="G32">
        <f t="shared" si="2"/>
        <v>2379424.800000004</v>
      </c>
      <c r="H32">
        <f t="shared" si="3"/>
        <v>0.42755819477434692</v>
      </c>
    </row>
    <row r="33" spans="1:8" x14ac:dyDescent="0.25">
      <c r="B33" t="s">
        <v>150</v>
      </c>
      <c r="C33" s="15">
        <v>2805752.5000000005</v>
      </c>
      <c r="D33" s="15">
        <v>0.4347017045454537</v>
      </c>
      <c r="F33" t="str">
        <f t="shared" si="1"/>
        <v>Qtr3</v>
      </c>
      <c r="G33">
        <f t="shared" si="2"/>
        <v>2805752.5000000005</v>
      </c>
      <c r="H33">
        <f t="shared" si="3"/>
        <v>0.4347017045454537</v>
      </c>
    </row>
    <row r="34" spans="1:8" x14ac:dyDescent="0.25">
      <c r="B34" t="s">
        <v>151</v>
      </c>
      <c r="C34" s="15">
        <v>2530170.899999999</v>
      </c>
      <c r="D34" s="15">
        <v>0.42483932853717082</v>
      </c>
      <c r="F34" t="str">
        <f t="shared" si="1"/>
        <v>Qtr4</v>
      </c>
      <c r="G34">
        <f t="shared" si="2"/>
        <v>2530170.899999999</v>
      </c>
      <c r="H34">
        <f t="shared" si="3"/>
        <v>0.42483932853717082</v>
      </c>
    </row>
    <row r="35" spans="1:8" x14ac:dyDescent="0.25">
      <c r="A35" t="s">
        <v>144</v>
      </c>
      <c r="C35" s="15">
        <v>12016664.999999991</v>
      </c>
      <c r="D35" s="15">
        <v>0.42299129353233944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B1" zoomScaleNormal="100" workbookViewId="0">
      <selection activeCell="E9" sqref="E9"/>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9:K20"/>
  <sheetViews>
    <sheetView showGridLines="0" tabSelected="1" zoomScale="95" zoomScaleNormal="95" workbookViewId="0">
      <selection activeCell="N35" sqref="N35"/>
    </sheetView>
  </sheetViews>
  <sheetFormatPr defaultColWidth="11.25" defaultRowHeight="15.75" x14ac:dyDescent="0.25"/>
  <cols>
    <col min="1" max="1" width="22.875" style="10" customWidth="1"/>
  </cols>
  <sheetData>
    <row r="9" spans="3:11" x14ac:dyDescent="0.25">
      <c r="C9" s="11" t="s">
        <v>132</v>
      </c>
      <c r="D9" s="11"/>
      <c r="E9" s="11"/>
      <c r="F9" s="11"/>
      <c r="H9" s="11" t="s">
        <v>131</v>
      </c>
      <c r="I9" s="11"/>
      <c r="J9" s="11"/>
      <c r="K9" s="11"/>
    </row>
    <row r="10" spans="3:11" x14ac:dyDescent="0.25">
      <c r="C10" s="13" t="s">
        <v>133</v>
      </c>
      <c r="D10" s="13" t="s">
        <v>134</v>
      </c>
      <c r="E10" s="13" t="s">
        <v>135</v>
      </c>
      <c r="F10" s="13" t="s">
        <v>136</v>
      </c>
      <c r="G10" s="12"/>
      <c r="H10" s="13" t="s">
        <v>0</v>
      </c>
      <c r="I10" s="13" t="s">
        <v>134</v>
      </c>
      <c r="J10" s="13" t="s">
        <v>137</v>
      </c>
      <c r="K10" s="13" t="s">
        <v>136</v>
      </c>
    </row>
    <row r="11" spans="3:11" x14ac:dyDescent="0.25">
      <c r="C11" t="str">
        <f>Sheet2!A18</f>
        <v>Amazon</v>
      </c>
      <c r="D11" s="18">
        <f>Sheet2!B18</f>
        <v>27325</v>
      </c>
      <c r="E11" s="18">
        <f>Sheet2!C18</f>
        <v>5809.1</v>
      </c>
      <c r="F11" s="18">
        <f>E11-D11</f>
        <v>-21515.9</v>
      </c>
      <c r="H11" t="str">
        <f>Sheet2!A18</f>
        <v>Amazon</v>
      </c>
      <c r="I11">
        <f>Sheet2!B18</f>
        <v>27325</v>
      </c>
      <c r="J11">
        <f>Sheet2!C18</f>
        <v>5809.1</v>
      </c>
      <c r="K11">
        <f>Sheet2!D18</f>
        <v>33134.1</v>
      </c>
    </row>
    <row r="12" spans="3:11" x14ac:dyDescent="0.25">
      <c r="C12" t="str">
        <f>Sheet2!A19</f>
        <v>BevCo</v>
      </c>
      <c r="D12" s="18">
        <f>Sheet2!B19</f>
        <v>0</v>
      </c>
      <c r="E12" s="18">
        <f>Sheet2!C19</f>
        <v>132245</v>
      </c>
      <c r="F12" s="18">
        <f t="shared" ref="F12:F17" si="0">E12-D12</f>
        <v>132245</v>
      </c>
      <c r="H12" t="str">
        <f>Sheet2!A19</f>
        <v>BevCo</v>
      </c>
      <c r="I12">
        <f>Sheet2!B19</f>
        <v>0</v>
      </c>
      <c r="J12">
        <f>Sheet2!C19</f>
        <v>132245</v>
      </c>
      <c r="K12">
        <f>Sheet2!D19</f>
        <v>132245</v>
      </c>
    </row>
    <row r="13" spans="3:11" x14ac:dyDescent="0.25">
      <c r="C13" t="str">
        <f>Sheet2!A20</f>
        <v>FizzyCo</v>
      </c>
      <c r="D13" s="18">
        <f>Sheet2!B20</f>
        <v>41267.9</v>
      </c>
      <c r="E13" s="18">
        <f>Sheet2!C20</f>
        <v>860704.2</v>
      </c>
      <c r="F13" s="18">
        <f t="shared" si="0"/>
        <v>819436.29999999993</v>
      </c>
      <c r="H13" t="str">
        <f>Sheet2!A20</f>
        <v>FizzyCo</v>
      </c>
      <c r="I13">
        <f>Sheet2!B20</f>
        <v>41267.9</v>
      </c>
      <c r="J13">
        <f>Sheet2!C20</f>
        <v>860704.2</v>
      </c>
      <c r="K13">
        <f>Sheet2!D20</f>
        <v>901972.1</v>
      </c>
    </row>
    <row r="14" spans="3:11" x14ac:dyDescent="0.25">
      <c r="C14" t="str">
        <f>Sheet2!A21</f>
        <v>Target</v>
      </c>
      <c r="D14" s="18">
        <f>Sheet2!B21</f>
        <v>0</v>
      </c>
      <c r="E14" s="18">
        <f>Sheet2!C21</f>
        <v>50668.000000000007</v>
      </c>
      <c r="F14" s="18">
        <f t="shared" si="0"/>
        <v>50668.000000000007</v>
      </c>
      <c r="H14" t="str">
        <f>Sheet2!A21</f>
        <v>Target</v>
      </c>
      <c r="I14">
        <f>Sheet2!B21</f>
        <v>0</v>
      </c>
      <c r="J14">
        <f>Sheet2!C21</f>
        <v>50668.000000000007</v>
      </c>
      <c r="K14">
        <f>Sheet2!D21</f>
        <v>50668.000000000007</v>
      </c>
    </row>
    <row r="15" spans="3:11" x14ac:dyDescent="0.25">
      <c r="C15" t="str">
        <f>Sheet2!A22</f>
        <v>Walmart</v>
      </c>
      <c r="D15" s="18">
        <f>Sheet2!B22</f>
        <v>273562.00000000006</v>
      </c>
      <c r="E15" s="18">
        <f>Sheet2!C22</f>
        <v>197706.29999999996</v>
      </c>
      <c r="F15" s="18">
        <f t="shared" si="0"/>
        <v>-75855.700000000099</v>
      </c>
      <c r="H15" t="str">
        <f>Sheet2!A22</f>
        <v>Walmart</v>
      </c>
      <c r="I15">
        <f>Sheet2!B22</f>
        <v>273562.00000000006</v>
      </c>
      <c r="J15">
        <f>Sheet2!C22</f>
        <v>197706.29999999996</v>
      </c>
      <c r="K15">
        <f>Sheet2!D22</f>
        <v>471268.30000000005</v>
      </c>
    </row>
    <row r="16" spans="3:11" x14ac:dyDescent="0.25">
      <c r="C16" t="str">
        <f>Sheet2!A23</f>
        <v>West Soda</v>
      </c>
      <c r="D16" s="18">
        <f>Sheet2!B23</f>
        <v>20808.3</v>
      </c>
      <c r="E16" s="18">
        <f>Sheet2!C23</f>
        <v>450239.8</v>
      </c>
      <c r="F16" s="18">
        <f t="shared" si="0"/>
        <v>429431.5</v>
      </c>
      <c r="H16" t="str">
        <f>Sheet2!A23</f>
        <v>West Soda</v>
      </c>
      <c r="I16">
        <f>Sheet2!B23</f>
        <v>20808.3</v>
      </c>
      <c r="J16">
        <f>Sheet2!C23</f>
        <v>450239.8</v>
      </c>
      <c r="K16">
        <f>Sheet2!D23</f>
        <v>471048.1</v>
      </c>
    </row>
    <row r="17" spans="3:11" x14ac:dyDescent="0.25">
      <c r="C17" s="19" t="s">
        <v>155</v>
      </c>
      <c r="D17" s="20">
        <f>Sheet2!B24</f>
        <v>362963.20000000001</v>
      </c>
      <c r="E17" s="20">
        <f>Sheet2!C24</f>
        <v>1697372.4000000001</v>
      </c>
      <c r="F17" s="20">
        <f t="shared" si="0"/>
        <v>1334409.2000000002</v>
      </c>
      <c r="H17" s="19" t="s">
        <v>155</v>
      </c>
      <c r="I17" s="19">
        <f>Sheet2!B24</f>
        <v>362963.20000000001</v>
      </c>
      <c r="J17" s="19">
        <f>Sheet2!C24</f>
        <v>1697372.4000000001</v>
      </c>
      <c r="K17" s="19">
        <f>Sheet2!D24</f>
        <v>2060335.6</v>
      </c>
    </row>
    <row r="20" spans="3:11" x14ac:dyDescent="0.25">
      <c r="C20" s="14" t="s">
        <v>138</v>
      </c>
      <c r="D20" s="14"/>
      <c r="E20" s="14"/>
      <c r="F20" s="14"/>
      <c r="G20" s="14"/>
      <c r="H20" s="14"/>
      <c r="I20" s="14"/>
      <c r="J20" s="14"/>
      <c r="K20" s="14"/>
    </row>
  </sheetData>
  <conditionalFormatting sqref="F11:F16">
    <cfRule type="dataBar" priority="2">
      <dataBar>
        <cfvo type="min"/>
        <cfvo type="max"/>
        <color rgb="FF63C384"/>
      </dataBar>
      <extLst>
        <ext xmlns:x14="http://schemas.microsoft.com/office/spreadsheetml/2009/9/main" uri="{B025F937-C7B1-47D3-B67F-A62EFF666E3E}">
          <x14:id>{D4A16094-B4B2-45DC-A518-40FD541A0D85}</x14:id>
        </ext>
      </extLst>
    </cfRule>
  </conditionalFormatting>
  <conditionalFormatting sqref="K11:K16">
    <cfRule type="dataBar" priority="1">
      <dataBar>
        <cfvo type="min"/>
        <cfvo type="max"/>
        <color rgb="FF63C384"/>
      </dataBar>
      <extLst>
        <ext xmlns:x14="http://schemas.microsoft.com/office/spreadsheetml/2009/9/main" uri="{B025F937-C7B1-47D3-B67F-A62EFF666E3E}">
          <x14:id>{39895E5D-D9EE-4F55-9009-1B4F5132ABA0}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4A16094-B4B2-45DC-A518-40FD541A0D85}">
            <x14:dataBar minLength="0" maxLength="100" border="1" negativeBarBorderColorSameAsPositive="0">
              <x14:cfvo type="autoMin"/>
              <x14:cfvo type="autoMax"/>
              <x14:borderColor rgb="FF63C384"/>
              <x14:negativeFillColor rgb="FFFF0000"/>
              <x14:negativeBorderColor rgb="FFFF0000"/>
              <x14:axisColor rgb="FF000000"/>
            </x14:dataBar>
          </x14:cfRule>
          <xm:sqref>F11:F16</xm:sqref>
        </x14:conditionalFormatting>
        <x14:conditionalFormatting xmlns:xm="http://schemas.microsoft.com/office/excel/2006/main">
          <x14:cfRule type="dataBar" id="{39895E5D-D9EE-4F55-9009-1B4F5132ABA0}">
            <x14:dataBar minLength="0" maxLength="100" border="1" negativeBarBorderColorSameAsPositive="0">
              <x14:cfvo type="autoMin"/>
              <x14:cfvo type="autoMax"/>
              <x14:borderColor rgb="FF63C384"/>
              <x14:negativeFillColor rgb="FFFF0000"/>
              <x14:negativeBorderColor rgb="FFFF0000"/>
              <x14:axisColor rgb="FF000000"/>
            </x14:dataBar>
          </x14:cfRule>
          <xm:sqref>K11:K16</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ACER</cp:lastModifiedBy>
  <dcterms:created xsi:type="dcterms:W3CDTF">2023-12-18T11:08:00Z</dcterms:created>
  <dcterms:modified xsi:type="dcterms:W3CDTF">2025-11-04T13:29:17Z</dcterms:modified>
</cp:coreProperties>
</file>