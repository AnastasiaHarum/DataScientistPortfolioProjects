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DSAREA Data Analyst\Day - 2\"/>
    </mc:Choice>
  </mc:AlternateContent>
  <xr:revisionPtr revIDLastSave="0" documentId="8_{CE7C03C8-8DD3-4CAD-A7EF-BFCD3786C4A9}" xr6:coauthVersionLast="43" xr6:coauthVersionMax="43" xr10:uidLastSave="{00000000-0000-0000-0000-000000000000}"/>
  <bookViews>
    <workbookView xWindow="-120" yWindow="-120" windowWidth="20730" windowHeight="11160" xr2:uid="{52BD2451-FAD0-4550-90B7-EC94D4FD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6" i="1" l="1"/>
  <c r="C15" i="1"/>
  <c r="E14" i="1"/>
  <c r="C14" i="1"/>
  <c r="C13" i="1"/>
  <c r="C12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<sst xmlns="http://schemas.openxmlformats.org/spreadsheetml/2006/main" count="26" uniqueCount="26">
  <si>
    <t>Stok Buah Segar</t>
  </si>
  <si>
    <t>Nama Buah</t>
  </si>
  <si>
    <t>Stok Tersisa</t>
  </si>
  <si>
    <t>Harga Satuan</t>
  </si>
  <si>
    <t>Rumus</t>
  </si>
  <si>
    <t>Tools</t>
  </si>
  <si>
    <t>Apel</t>
  </si>
  <si>
    <t>Penjumlahan</t>
  </si>
  <si>
    <t>Jeruk</t>
  </si>
  <si>
    <t>Anggur</t>
  </si>
  <si>
    <t>Pengurangan</t>
  </si>
  <si>
    <t>Melon</t>
  </si>
  <si>
    <t>Perkalian</t>
  </si>
  <si>
    <t>Semangka</t>
  </si>
  <si>
    <t>Pembagian</t>
  </si>
  <si>
    <t>Jumlah stok tersisa</t>
  </si>
  <si>
    <t>SUM</t>
  </si>
  <si>
    <t>Rata-rata stok perbuah</t>
  </si>
  <si>
    <t>AVERAGE</t>
  </si>
  <si>
    <t>banyak jenis buah</t>
  </si>
  <si>
    <t>COUNT</t>
  </si>
  <si>
    <t>COUNTA = untuk huruf</t>
  </si>
  <si>
    <t>Stok paling tinggi</t>
  </si>
  <si>
    <t>MAX</t>
  </si>
  <si>
    <t>Stok paling rendah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</si>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</sst>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3" borderId="1" xfId="0" applyFont="1" applyFill="1" applyBorder="1"/>
    <xf numFmtId="3" fontId="0" fillId="0" borderId="1" xfId="0" applyNumberFormat="1" applyBorder="1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12</xdr:col>
      <xdr:colOff>485775</xdr:colOff>
      <xdr:row>8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B13543-1BF9-483A-8936-BCD71764CE8C}"/>
            </a:ext>
          </a:extLst>
        </xdr:cNvPr>
        <xdr:cNvSpPr/>
      </xdr:nvSpPr>
      <xdr:spPr>
        <a:xfrm>
          <a:off x="5610225" y="485775"/>
          <a:ext cx="2924175" cy="120967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 SUM :</a:t>
          </a:r>
          <a:r>
            <a:rPr lang="en-ID" sz="1100" baseline="0">
              <a:solidFill>
                <a:sysClr val="windowText" lastClr="000000"/>
              </a:solidFill>
            </a:rPr>
            <a:t> </a:t>
          </a:r>
          <a:r>
            <a:rPr lang="en-ID" sz="1100" baseline="0">
              <a:solidFill>
                <a:schemeClr val="bg1"/>
              </a:solidFill>
            </a:rPr>
            <a:t>Penjumlahan</a:t>
          </a:r>
        </a:p>
        <a:p>
          <a:pPr algn="l"/>
          <a:r>
            <a:rPr lang="en-ID" sz="1100" baseline="0">
              <a:solidFill>
                <a:sysClr val="windowText" lastClr="000000"/>
              </a:solidFill>
            </a:rPr>
            <a:t>=Average : </a:t>
          </a:r>
          <a:r>
            <a:rPr lang="en-ID" sz="1100" baseline="0">
              <a:solidFill>
                <a:schemeClr val="bg1"/>
              </a:solidFill>
            </a:rPr>
            <a:t>Rata-rata</a:t>
          </a:r>
        </a:p>
        <a:p>
          <a:pPr algn="l"/>
          <a:r>
            <a:rPr lang="en-ID" sz="1100" baseline="0">
              <a:solidFill>
                <a:sysClr val="windowText" lastClr="000000"/>
              </a:solidFill>
            </a:rPr>
            <a:t>= Count : </a:t>
          </a:r>
          <a:r>
            <a:rPr lang="en-ID" sz="1100" baseline="0">
              <a:solidFill>
                <a:schemeClr val="bg1"/>
              </a:solidFill>
            </a:rPr>
            <a:t>Penjumlahan (Berapa Jumlah data)</a:t>
          </a:r>
        </a:p>
        <a:p>
          <a:pPr algn="l"/>
          <a:r>
            <a:rPr lang="en-ID" sz="1100" baseline="0">
              <a:solidFill>
                <a:sysClr val="windowText" lastClr="000000"/>
              </a:solidFill>
            </a:rPr>
            <a:t>=Counta : </a:t>
          </a:r>
          <a:r>
            <a:rPr lang="en-ID" sz="1100" baseline="0">
              <a:solidFill>
                <a:schemeClr val="bg1"/>
              </a:solidFill>
            </a:rPr>
            <a:t>Untuk penjumlahan huruf</a:t>
          </a:r>
          <a:r>
            <a:rPr lang="en-ID" sz="1100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ID" sz="1100" baseline="0">
              <a:solidFill>
                <a:sysClr val="windowText" lastClr="000000"/>
              </a:solidFill>
            </a:rPr>
            <a:t>=Max : </a:t>
          </a:r>
          <a:r>
            <a:rPr lang="en-ID" sz="1100" baseline="0">
              <a:solidFill>
                <a:schemeClr val="bg1"/>
              </a:solidFill>
            </a:rPr>
            <a:t>Nilai Maksimum</a:t>
          </a:r>
        </a:p>
        <a:p>
          <a:pPr algn="l"/>
          <a:r>
            <a:rPr lang="en-ID" sz="1100" baseline="0">
              <a:solidFill>
                <a:sysClr val="windowText" lastClr="000000"/>
              </a:solidFill>
            </a:rPr>
            <a:t>= Min : </a:t>
          </a:r>
          <a:r>
            <a:rPr lang="en-ID" sz="1100" baseline="0">
              <a:solidFill>
                <a:schemeClr val="bg1"/>
              </a:solidFill>
            </a:rPr>
            <a:t>Nilai Minimum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7512-F050-4D57-8831-A2E59EABA834}">
  <dimension ref="A1:H16"/>
  <sheetViews>
    <sheetView tabSelected="1" workbookViewId="0">
      <selection activeCell="P13" sqref="P13"/>
    </sheetView>
  </sheetViews>
  <sheetFormatPr defaultRowHeight="15" x14ac:dyDescent="0.25"/>
  <cols>
    <col min="2" max="2" width="11.42578125" bestFit="1" customWidth="1"/>
    <col min="3" max="3" width="12.42578125" bestFit="1" customWidth="1"/>
    <col min="6" max="6" width="21.42578125" bestFit="1" customWidth="1"/>
    <col min="7" max="7" width="7" bestFit="1" customWidth="1"/>
  </cols>
  <sheetData>
    <row r="1" spans="1:8" ht="23.25" x14ac:dyDescent="0.35">
      <c r="A1" s="1" t="s">
        <v>0</v>
      </c>
      <c r="B1" s="1"/>
      <c r="C1" s="1"/>
    </row>
    <row r="3" spans="1:8" x14ac:dyDescent="0.25">
      <c r="A3" s="2" t="s">
        <v>1</v>
      </c>
      <c r="B3" s="2" t="s">
        <v>2</v>
      </c>
      <c r="C3" s="2" t="s">
        <v>3</v>
      </c>
      <c r="F3" s="3" t="s">
        <v>4</v>
      </c>
      <c r="G3" s="3" t="s">
        <v>5</v>
      </c>
      <c r="H3" s="4"/>
    </row>
    <row r="4" spans="1:8" x14ac:dyDescent="0.25">
      <c r="A4" s="5" t="s">
        <v>6</v>
      </c>
      <c r="B4" s="6">
        <v>10</v>
      </c>
      <c r="C4" s="7">
        <v>10000</v>
      </c>
      <c r="F4" s="8" t="s">
        <v>7</v>
      </c>
      <c r="G4" s="9">
        <f>C4+C5</f>
        <v>15000</v>
      </c>
    </row>
    <row r="5" spans="1:8" x14ac:dyDescent="0.25">
      <c r="A5" s="5" t="s">
        <v>8</v>
      </c>
      <c r="B5" s="6">
        <v>20</v>
      </c>
      <c r="C5" s="7">
        <v>5000</v>
      </c>
      <c r="F5" s="10"/>
      <c r="G5" s="9">
        <f>SUM(C4:C8)</f>
        <v>55000</v>
      </c>
    </row>
    <row r="6" spans="1:8" x14ac:dyDescent="0.25">
      <c r="A6" s="5" t="s">
        <v>9</v>
      </c>
      <c r="B6" s="6">
        <v>25</v>
      </c>
      <c r="C6" s="7">
        <v>20000</v>
      </c>
      <c r="F6" s="8" t="s">
        <v>10</v>
      </c>
      <c r="G6" s="9">
        <f>C4-C5</f>
        <v>5000</v>
      </c>
    </row>
    <row r="7" spans="1:8" x14ac:dyDescent="0.25">
      <c r="A7" s="5" t="s">
        <v>11</v>
      </c>
      <c r="B7" s="6">
        <v>5</v>
      </c>
      <c r="C7" s="7">
        <v>14000</v>
      </c>
      <c r="F7" s="8" t="s">
        <v>12</v>
      </c>
      <c r="G7" s="11">
        <f>B4*C4</f>
        <v>100000</v>
      </c>
    </row>
    <row r="8" spans="1:8" x14ac:dyDescent="0.25">
      <c r="A8" s="5" t="s">
        <v>13</v>
      </c>
      <c r="B8" s="6">
        <v>10</v>
      </c>
      <c r="C8" s="7">
        <v>6000</v>
      </c>
      <c r="F8" s="8" t="s">
        <v>14</v>
      </c>
      <c r="G8" s="11">
        <f>C4/B4</f>
        <v>1000</v>
      </c>
    </row>
    <row r="12" spans="1:8" x14ac:dyDescent="0.25">
      <c r="A12" s="12" t="s">
        <v>15</v>
      </c>
      <c r="C12" s="13">
        <f>SUM(B4:B8)</f>
        <v>70</v>
      </c>
      <c r="D12" s="12" t="s">
        <v>16</v>
      </c>
    </row>
    <row r="13" spans="1:8" x14ac:dyDescent="0.25">
      <c r="A13" s="12" t="s">
        <v>17</v>
      </c>
      <c r="C13" s="13">
        <f>AVERAGE(B4:B8)</f>
        <v>14</v>
      </c>
      <c r="D13" s="12" t="s">
        <v>18</v>
      </c>
    </row>
    <row r="14" spans="1:8" x14ac:dyDescent="0.25">
      <c r="A14" s="12" t="s">
        <v>19</v>
      </c>
      <c r="C14" s="13">
        <f>COUNT(B4:B8)</f>
        <v>5</v>
      </c>
      <c r="D14" s="12" t="s">
        <v>20</v>
      </c>
      <c r="E14">
        <f>COUNTA(A4:A8)</f>
        <v>5</v>
      </c>
      <c r="F14" s="12" t="s">
        <v>21</v>
      </c>
    </row>
    <row r="15" spans="1:8" x14ac:dyDescent="0.25">
      <c r="A15" s="12" t="s">
        <v>22</v>
      </c>
      <c r="C15" s="13">
        <f>MAX(B4:B8)</f>
        <v>25</v>
      </c>
      <c r="D15" s="12" t="s">
        <v>23</v>
      </c>
    </row>
    <row r="16" spans="1:8" x14ac:dyDescent="0.25">
      <c r="A16" s="12" t="s">
        <v>24</v>
      </c>
      <c r="C16" s="13">
        <f>MIN(B4:B8)</f>
        <v>5</v>
      </c>
      <c r="D16" s="12" t="s">
        <v>25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2025-11-02T13:31:52Z</dcterms:created>
  <dcterms:modified xsi:type="dcterms:W3CDTF">2025-11-02T13:33:16Z</dcterms:modified>
</cp:coreProperties>
</file>