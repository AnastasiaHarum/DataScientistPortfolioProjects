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DSAREA Data Analyst\Day - 2\"/>
    </mc:Choice>
  </mc:AlternateContent>
  <xr:revisionPtr revIDLastSave="0" documentId="8_{EF582B82-D229-48AA-8763-32A97D5E0B48}" xr6:coauthVersionLast="43" xr6:coauthVersionMax="43" xr10:uidLastSave="{00000000-0000-0000-0000-000000000000}"/>
  <bookViews>
    <workbookView xWindow="-120" yWindow="-120" windowWidth="20730" windowHeight="11160" activeTab="2" xr2:uid="{E19A106E-D256-48A2-8C9B-F3EE1FCD1424}"/>
  </bookViews>
  <sheets>
    <sheet name="SUM, SUMIF, SUMIFS" sheetId="1" r:id="rId1"/>
    <sheet name="COUNT, COUNTA, COUNTIF, COUNTIF" sheetId="2" r:id="rId2"/>
    <sheet name="AVERAGE, AVERAGEIF, AVERAGEIF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17" i="3" l="1"/>
  <c r="K16" i="3"/>
  <c r="K11" i="3"/>
  <c r="K10" i="3"/>
  <c r="K4" i="3"/>
  <c r="M17" i="2"/>
  <c r="M16" i="2"/>
  <c r="M10" i="2"/>
  <c r="M9" i="2"/>
  <c r="M5" i="2"/>
  <c r="M4" i="2"/>
  <c r="D12" i="1"/>
  <c r="D11" i="1"/>
  <c r="D10" i="1"/>
  <c r="D9" i="1"/>
  <c r="D8" i="1"/>
  <c r="D7" i="1"/>
  <c r="L13" i="1" s="1"/>
  <c r="D6" i="1"/>
  <c r="D5" i="1"/>
  <c r="D4" i="1"/>
  <c r="L7" i="1" l="1"/>
  <c r="L3" i="1"/>
  <c r="L12" i="1"/>
</calcChain>
</file>

<file path=xl/sharedStrings.xml><?xml version="1.0" encoding="utf-8"?>
<sst xmlns="http://schemas.openxmlformats.org/spreadsheetml/2006/main" count="146" uniqueCount="53">
  <si>
    <t>Nama Murid</t>
  </si>
  <si>
    <t>Jenis Kelamin</t>
  </si>
  <si>
    <t>Nilai</t>
  </si>
  <si>
    <t>Andi</t>
  </si>
  <si>
    <t>Laki-Laki</t>
  </si>
  <si>
    <t>Budi</t>
  </si>
  <si>
    <t>Clara</t>
  </si>
  <si>
    <t>Dewi</t>
  </si>
  <si>
    <t>Perempuan</t>
  </si>
  <si>
    <t>Sinta</t>
  </si>
  <si>
    <t>Ramdan</t>
  </si>
  <si>
    <t>Bayu</t>
  </si>
  <si>
    <t>Septia</t>
  </si>
  <si>
    <t>Ruman</t>
  </si>
  <si>
    <t>Rohid</t>
  </si>
  <si>
    <t>Jenis Barang</t>
  </si>
  <si>
    <t xml:space="preserve"> Ukuran </t>
  </si>
  <si>
    <t>Harga</t>
  </si>
  <si>
    <t>Stok</t>
  </si>
  <si>
    <t>SUM</t>
  </si>
  <si>
    <t>Sabun</t>
  </si>
  <si>
    <t>Besar</t>
  </si>
  <si>
    <t>Normal</t>
  </si>
  <si>
    <t>Semua Stok</t>
  </si>
  <si>
    <t>Shampoo</t>
  </si>
  <si>
    <t>Pasta gigi</t>
  </si>
  <si>
    <t>Diskon</t>
  </si>
  <si>
    <t>SUMIF</t>
  </si>
  <si>
    <t>Kecil</t>
  </si>
  <si>
    <t>SUMIFS</t>
  </si>
  <si>
    <t>Kode Barang</t>
  </si>
  <si>
    <t>COUN &amp; COUNTA</t>
  </si>
  <si>
    <t>A71</t>
  </si>
  <si>
    <t>A72</t>
  </si>
  <si>
    <t>A64</t>
  </si>
  <si>
    <t>A77</t>
  </si>
  <si>
    <t>A90</t>
  </si>
  <si>
    <t>A62</t>
  </si>
  <si>
    <t>COUNTIF</t>
  </si>
  <si>
    <t>A11</t>
  </si>
  <si>
    <t>A13</t>
  </si>
  <si>
    <t>A88</t>
  </si>
  <si>
    <t>COUNTIFS</t>
  </si>
  <si>
    <t>Jurusan</t>
  </si>
  <si>
    <t>Status</t>
  </si>
  <si>
    <t>AVERAGE</t>
  </si>
  <si>
    <t>IPA</t>
  </si>
  <si>
    <t>Lulus</t>
  </si>
  <si>
    <t>Semua Murid</t>
  </si>
  <si>
    <t>IPS</t>
  </si>
  <si>
    <t>AVERAGEIF</t>
  </si>
  <si>
    <t>Tidak Lulus</t>
  </si>
  <si>
    <t>AVERAGEIFS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</si>
</sst>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3" borderId="1" xfId="0" applyFont="1" applyFill="1" applyBorder="1"/>
    <xf numFmtId="0" fontId="1" fillId="4" borderId="1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600075</xdr:colOff>
      <xdr:row>4</xdr:row>
      <xdr:rowOff>19051</xdr:rowOff>
    </xdr:from>
    <xdr:to>
      <xdr:col>9</xdr:col>
      <xdr:colOff>390525</xdr:colOff>
      <xdr:row>5</xdr:row>
      <xdr:rowOff>95251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A530658E-3DD8-4AA2-8EDF-51BF065B113B}"/>
            </a:ext>
          </a:extLst>
        </xdr:cNvPr>
        <xdr:cNvSpPr/>
      </xdr:nvSpPr>
      <xdr:spPr>
        <a:xfrm>
          <a:off x="4152900" y="781051"/>
          <a:ext cx="2371725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=SUM Penjumlahan biasa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9525</xdr:colOff>
      <xdr:row>8</xdr:row>
      <xdr:rowOff>19051</xdr:rowOff>
    </xdr:from>
    <xdr:to>
      <xdr:col>10</xdr:col>
      <xdr:colOff>285750</xdr:colOff>
      <xdr:row>9</xdr:row>
      <xdr:rowOff>95251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2A342F2-F9D9-48EC-886C-AE1F54732D16}"/>
            </a:ext>
          </a:extLst>
        </xdr:cNvPr>
        <xdr:cNvSpPr/>
      </xdr:nvSpPr>
      <xdr:spPr>
        <a:xfrm>
          <a:off x="4171950" y="1543051"/>
          <a:ext cx="2857500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=SUMIF Penjumlahan dengan</a:t>
          </a:r>
          <a:r>
            <a:rPr lang="en-ID" sz="1100" baseline="0">
              <a:solidFill>
                <a:sysClr val="windowText" lastClr="000000"/>
              </a:solidFill>
            </a:rPr>
            <a:t> 1 kreteria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5</xdr:col>
      <xdr:colOff>600075</xdr:colOff>
      <xdr:row>13</xdr:row>
      <xdr:rowOff>19051</xdr:rowOff>
    </xdr:from>
    <xdr:to>
      <xdr:col>10</xdr:col>
      <xdr:colOff>266700</xdr:colOff>
      <xdr:row>14</xdr:row>
      <xdr:rowOff>95251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2ED84CE3-3B65-4197-8A97-F6E60A40341F}"/>
            </a:ext>
          </a:extLst>
        </xdr:cNvPr>
        <xdr:cNvSpPr/>
      </xdr:nvSpPr>
      <xdr:spPr>
        <a:xfrm>
          <a:off x="4152900" y="2495551"/>
          <a:ext cx="2857500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=SUMIFS</a:t>
          </a:r>
          <a:r>
            <a:rPr lang="en-ID" sz="1100" baseline="0">
              <a:solidFill>
                <a:sysClr val="windowText" lastClr="000000"/>
              </a:solidFill>
            </a:rPr>
            <a:t> </a:t>
          </a:r>
          <a:r>
            <a:rPr lang="en-ID" sz="1100">
              <a:solidFill>
                <a:sysClr val="windowText" lastClr="000000"/>
              </a:solidFill>
            </a:rPr>
            <a:t>Penjumlahan dengan</a:t>
          </a:r>
          <a:r>
            <a:rPr lang="en-ID" sz="1100" baseline="0">
              <a:solidFill>
                <a:sysClr val="windowText" lastClr="000000"/>
              </a:solidFill>
            </a:rPr>
            <a:t> lebih 1 kreteria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4</xdr:row>
      <xdr:rowOff>19051</xdr:rowOff>
    </xdr:from>
    <xdr:to>
      <xdr:col>11</xdr:col>
      <xdr:colOff>457199</xdr:colOff>
      <xdr:row>5</xdr:row>
      <xdr:rowOff>95251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E9C7F16-994A-4131-870E-78BDF9208097}"/>
            </a:ext>
          </a:extLst>
        </xdr:cNvPr>
        <xdr:cNvSpPr/>
      </xdr:nvSpPr>
      <xdr:spPr>
        <a:xfrm>
          <a:off x="4448174" y="781051"/>
          <a:ext cx="3381375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=COUNT menghitung banyaknya data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0</xdr:colOff>
      <xdr:row>11</xdr:row>
      <xdr:rowOff>9526</xdr:rowOff>
    </xdr:from>
    <xdr:to>
      <xdr:col>11</xdr:col>
      <xdr:colOff>276225</xdr:colOff>
      <xdr:row>12</xdr:row>
      <xdr:rowOff>85726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8E450B7-5707-49EC-BCD0-1D9B55ABD36A}"/>
            </a:ext>
          </a:extLst>
        </xdr:cNvPr>
        <xdr:cNvSpPr/>
      </xdr:nvSpPr>
      <xdr:spPr>
        <a:xfrm>
          <a:off x="4457700" y="2105026"/>
          <a:ext cx="3190875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=COUNTIF Penjumlahan dengan</a:t>
          </a:r>
          <a:r>
            <a:rPr lang="en-ID" sz="1100" baseline="0">
              <a:solidFill>
                <a:sysClr val="windowText" lastClr="000000"/>
              </a:solidFill>
            </a:rPr>
            <a:t> 1 kreteria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600075</xdr:colOff>
      <xdr:row>17</xdr:row>
      <xdr:rowOff>19051</xdr:rowOff>
    </xdr:from>
    <xdr:to>
      <xdr:col>12</xdr:col>
      <xdr:colOff>104775</xdr:colOff>
      <xdr:row>18</xdr:row>
      <xdr:rowOff>95251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C253169-7A93-40A3-90BC-6C919010A70D}"/>
            </a:ext>
          </a:extLst>
        </xdr:cNvPr>
        <xdr:cNvSpPr/>
      </xdr:nvSpPr>
      <xdr:spPr>
        <a:xfrm>
          <a:off x="4448175" y="3257551"/>
          <a:ext cx="3638550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=COUNTIFS</a:t>
          </a:r>
          <a:r>
            <a:rPr lang="en-ID" sz="1100" baseline="0">
              <a:solidFill>
                <a:sysClr val="windowText" lastClr="000000"/>
              </a:solidFill>
            </a:rPr>
            <a:t> </a:t>
          </a:r>
          <a:r>
            <a:rPr lang="en-ID" sz="1100">
              <a:solidFill>
                <a:sysClr val="windowText" lastClr="000000"/>
              </a:solidFill>
            </a:rPr>
            <a:t>Penjumlahan dengan</a:t>
          </a:r>
          <a:r>
            <a:rPr lang="en-ID" sz="1100" baseline="0">
              <a:solidFill>
                <a:sysClr val="windowText" lastClr="000000"/>
              </a:solidFill>
            </a:rPr>
            <a:t> lebih 1 kreteria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600074</xdr:colOff>
      <xdr:row>5</xdr:row>
      <xdr:rowOff>133351</xdr:rowOff>
    </xdr:from>
    <xdr:to>
      <xdr:col>11</xdr:col>
      <xdr:colOff>457199</xdr:colOff>
      <xdr:row>7</xdr:row>
      <xdr:rowOff>19051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4A364CB-069F-41D6-9349-DBA4080B3514}"/>
            </a:ext>
          </a:extLst>
        </xdr:cNvPr>
        <xdr:cNvSpPr/>
      </xdr:nvSpPr>
      <xdr:spPr>
        <a:xfrm>
          <a:off x="4448174" y="1085851"/>
          <a:ext cx="3381375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=COUNT (Angka)</a:t>
          </a:r>
          <a:r>
            <a:rPr lang="en-ID" sz="1100" baseline="0">
              <a:solidFill>
                <a:sysClr val="windowText" lastClr="000000"/>
              </a:solidFill>
            </a:rPr>
            <a:t> =COUNTA (Huruf)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600075</xdr:colOff>
      <xdr:row>17</xdr:row>
      <xdr:rowOff>19051</xdr:rowOff>
    </xdr:from>
    <xdr:to>
      <xdr:col>12</xdr:col>
      <xdr:colOff>104775</xdr:colOff>
      <xdr:row>18</xdr:row>
      <xdr:rowOff>95251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E6AB65C-D13E-4853-95FC-F1F2F4CD8BA1}"/>
            </a:ext>
          </a:extLst>
        </xdr:cNvPr>
        <xdr:cNvSpPr/>
      </xdr:nvSpPr>
      <xdr:spPr>
        <a:xfrm>
          <a:off x="4448175" y="3257551"/>
          <a:ext cx="3638550" cy="266700"/>
        </a:xfrm>
        <a:prstGeom prst="rect">
          <a:avLst/>
        </a:prstGeom>
        <a:solidFill>
          <a:schemeClr val="accent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ysClr val="windowText" lastClr="000000"/>
              </a:solidFill>
            </a:rPr>
            <a:t>=COUNTIFS</a:t>
          </a:r>
          <a:r>
            <a:rPr lang="en-ID" sz="1100" baseline="0">
              <a:solidFill>
                <a:sysClr val="windowText" lastClr="000000"/>
              </a:solidFill>
            </a:rPr>
            <a:t> </a:t>
          </a:r>
          <a:r>
            <a:rPr lang="en-ID" sz="1100">
              <a:solidFill>
                <a:sysClr val="windowText" lastClr="000000"/>
              </a:solidFill>
            </a:rPr>
            <a:t>Penjumlahan dengan</a:t>
          </a:r>
          <a:r>
            <a:rPr lang="en-ID" sz="1100" baseline="0">
              <a:solidFill>
                <a:sysClr val="windowText" lastClr="000000"/>
              </a:solidFill>
            </a:rPr>
            <a:t> lebih 1 kreteria</a:t>
          </a:r>
          <a:endParaRPr lang="en-ID" sz="1100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7A457-505F-49C5-91A3-EBC32CCBF37B}">
  <dimension ref="A3:L13"/>
  <sheetViews>
    <sheetView topLeftCell="A2" workbookViewId="0">
      <selection activeCell="C23" sqref="C23"/>
    </sheetView>
  </sheetViews>
  <sheetFormatPr defaultRowHeight="15" x14ac:dyDescent="0.25"/>
  <sheetData>
    <row r="3" spans="1:12" x14ac:dyDescent="0.25">
      <c r="A3" s="4" t="s">
        <v>15</v>
      </c>
      <c r="B3" s="4" t="s">
        <v>16</v>
      </c>
      <c r="C3" s="4" t="s">
        <v>17</v>
      </c>
      <c r="D3" s="4" t="s">
        <v>18</v>
      </c>
      <c r="G3" s="5" t="s">
        <v>19</v>
      </c>
      <c r="L3">
        <f ca="1">SUM(D4:D12)</f>
        <v>340</v>
      </c>
    </row>
    <row r="4" spans="1:12" x14ac:dyDescent="0.25">
      <c r="A4" s="3" t="s">
        <v>20</v>
      </c>
      <c r="B4" s="3" t="s">
        <v>21</v>
      </c>
      <c r="C4" s="3" t="s">
        <v>22</v>
      </c>
      <c r="D4" s="3">
        <f ca="1">RANDBETWEEN(1,100)</f>
        <v>5</v>
      </c>
      <c r="G4" s="6" t="s">
        <v>23</v>
      </c>
    </row>
    <row r="5" spans="1:12" x14ac:dyDescent="0.25">
      <c r="A5" s="3" t="s">
        <v>24</v>
      </c>
      <c r="B5" s="3" t="s">
        <v>21</v>
      </c>
      <c r="C5" s="3" t="s">
        <v>22</v>
      </c>
      <c r="D5" s="3">
        <f ca="1">RANDBETWEEN(1,100)</f>
        <v>73</v>
      </c>
    </row>
    <row r="6" spans="1:12" x14ac:dyDescent="0.25">
      <c r="A6" s="3" t="s">
        <v>20</v>
      </c>
      <c r="B6" s="3" t="s">
        <v>21</v>
      </c>
      <c r="C6" s="3" t="s">
        <v>22</v>
      </c>
      <c r="D6" s="3">
        <f t="shared" ref="D6:D12" ca="1" si="0">RANDBETWEEN(1,100)</f>
        <v>44</v>
      </c>
    </row>
    <row r="7" spans="1:12" x14ac:dyDescent="0.25">
      <c r="A7" s="3" t="s">
        <v>25</v>
      </c>
      <c r="B7" s="3" t="s">
        <v>21</v>
      </c>
      <c r="C7" s="3" t="s">
        <v>26</v>
      </c>
      <c r="D7" s="3">
        <f t="shared" ca="1" si="0"/>
        <v>9</v>
      </c>
      <c r="G7" t="s">
        <v>27</v>
      </c>
      <c r="L7">
        <f ca="1">SUMIF(A4:A12,A5,D4:D12)</f>
        <v>151</v>
      </c>
    </row>
    <row r="8" spans="1:12" x14ac:dyDescent="0.25">
      <c r="A8" s="3" t="s">
        <v>20</v>
      </c>
      <c r="B8" s="3" t="s">
        <v>28</v>
      </c>
      <c r="C8" s="3" t="s">
        <v>26</v>
      </c>
      <c r="D8" s="3">
        <f t="shared" ca="1" si="0"/>
        <v>18</v>
      </c>
      <c r="G8" s="7" t="s">
        <v>24</v>
      </c>
    </row>
    <row r="9" spans="1:12" x14ac:dyDescent="0.25">
      <c r="A9" s="3" t="s">
        <v>20</v>
      </c>
      <c r="B9" s="3" t="s">
        <v>28</v>
      </c>
      <c r="C9" s="3" t="s">
        <v>26</v>
      </c>
      <c r="D9" s="3">
        <f t="shared" ca="1" si="0"/>
        <v>28</v>
      </c>
    </row>
    <row r="10" spans="1:12" x14ac:dyDescent="0.25">
      <c r="A10" s="3" t="s">
        <v>24</v>
      </c>
      <c r="B10" s="3" t="s">
        <v>28</v>
      </c>
      <c r="C10" s="3" t="s">
        <v>22</v>
      </c>
      <c r="D10" s="3">
        <f t="shared" ca="1" si="0"/>
        <v>54</v>
      </c>
    </row>
    <row r="11" spans="1:12" x14ac:dyDescent="0.25">
      <c r="A11" s="3" t="s">
        <v>24</v>
      </c>
      <c r="B11" s="3" t="s">
        <v>28</v>
      </c>
      <c r="C11" s="3" t="s">
        <v>22</v>
      </c>
      <c r="D11" s="3">
        <f t="shared" ca="1" si="0"/>
        <v>24</v>
      </c>
      <c r="G11" t="s">
        <v>29</v>
      </c>
    </row>
    <row r="12" spans="1:12" x14ac:dyDescent="0.25">
      <c r="A12" s="3" t="s">
        <v>25</v>
      </c>
      <c r="B12" s="3" t="s">
        <v>28</v>
      </c>
      <c r="C12" s="3" t="s">
        <v>22</v>
      </c>
      <c r="D12" s="3">
        <f t="shared" ca="1" si="0"/>
        <v>85</v>
      </c>
      <c r="G12" s="6" t="s">
        <v>24</v>
      </c>
      <c r="H12" s="6" t="s">
        <v>21</v>
      </c>
      <c r="L12">
        <f ca="1">SUMIFS(D4:D12,A4:A12,G12,B4:B12,H12)</f>
        <v>73</v>
      </c>
    </row>
    <row r="13" spans="1:12" x14ac:dyDescent="0.25">
      <c r="G13" s="6" t="s">
        <v>21</v>
      </c>
      <c r="H13" s="6" t="s">
        <v>26</v>
      </c>
      <c r="L13">
        <f ca="1">SUMIFS(D4:D12,B4:B12,G13,C4:C12,H13)</f>
        <v>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B8592-B0F0-430E-90FB-E262004196D3}">
  <dimension ref="A3:M17"/>
  <sheetViews>
    <sheetView workbookViewId="0">
      <selection activeCell="I21" sqref="I21"/>
    </sheetView>
  </sheetViews>
  <sheetFormatPr defaultRowHeight="15" x14ac:dyDescent="0.25"/>
  <sheetData>
    <row r="3" spans="1:13" x14ac:dyDescent="0.25">
      <c r="A3" s="7" t="s">
        <v>30</v>
      </c>
      <c r="B3" s="4" t="s">
        <v>15</v>
      </c>
      <c r="C3" s="4" t="s">
        <v>16</v>
      </c>
      <c r="D3" s="4" t="s">
        <v>17</v>
      </c>
      <c r="E3" s="4" t="s">
        <v>18</v>
      </c>
      <c r="H3" s="8" t="s">
        <v>31</v>
      </c>
    </row>
    <row r="4" spans="1:13" x14ac:dyDescent="0.25">
      <c r="A4" s="3" t="s">
        <v>32</v>
      </c>
      <c r="B4" s="3" t="s">
        <v>20</v>
      </c>
      <c r="C4" s="3" t="s">
        <v>21</v>
      </c>
      <c r="D4" s="3" t="s">
        <v>22</v>
      </c>
      <c r="E4" s="3">
        <v>6</v>
      </c>
      <c r="H4" s="6" t="s">
        <v>23</v>
      </c>
      <c r="M4">
        <f>COUNT(E4:E12)</f>
        <v>9</v>
      </c>
    </row>
    <row r="5" spans="1:13" x14ac:dyDescent="0.25">
      <c r="A5" s="3" t="s">
        <v>33</v>
      </c>
      <c r="B5" s="3" t="s">
        <v>24</v>
      </c>
      <c r="C5" s="3" t="s">
        <v>21</v>
      </c>
      <c r="D5" s="3" t="s">
        <v>22</v>
      </c>
      <c r="E5" s="3">
        <v>5</v>
      </c>
      <c r="M5">
        <f>COUNTA(D4:D12)</f>
        <v>9</v>
      </c>
    </row>
    <row r="6" spans="1:13" x14ac:dyDescent="0.25">
      <c r="A6" s="3" t="s">
        <v>34</v>
      </c>
      <c r="B6" s="3" t="s">
        <v>20</v>
      </c>
      <c r="C6" s="3" t="s">
        <v>21</v>
      </c>
      <c r="D6" s="3" t="s">
        <v>22</v>
      </c>
      <c r="E6" s="3">
        <v>55</v>
      </c>
    </row>
    <row r="7" spans="1:13" x14ac:dyDescent="0.25">
      <c r="A7" s="3" t="s">
        <v>35</v>
      </c>
      <c r="B7" s="3" t="s">
        <v>25</v>
      </c>
      <c r="C7" s="3" t="s">
        <v>21</v>
      </c>
      <c r="D7" s="3" t="s">
        <v>26</v>
      </c>
      <c r="E7" s="3">
        <v>5</v>
      </c>
    </row>
    <row r="8" spans="1:13" x14ac:dyDescent="0.25">
      <c r="A8" s="3" t="s">
        <v>36</v>
      </c>
      <c r="B8" s="3" t="s">
        <v>20</v>
      </c>
      <c r="C8" s="3" t="s">
        <v>28</v>
      </c>
      <c r="D8" s="3" t="s">
        <v>26</v>
      </c>
      <c r="E8" s="3">
        <v>4</v>
      </c>
    </row>
    <row r="9" spans="1:13" x14ac:dyDescent="0.25">
      <c r="A9" s="3" t="s">
        <v>37</v>
      </c>
      <c r="B9" s="3" t="s">
        <v>20</v>
      </c>
      <c r="C9" s="3" t="s">
        <v>28</v>
      </c>
      <c r="D9" s="3" t="s">
        <v>26</v>
      </c>
      <c r="E9" s="3">
        <v>8</v>
      </c>
      <c r="H9" t="s">
        <v>38</v>
      </c>
      <c r="M9">
        <f>COUNTIF(B4:B12,H10)</f>
        <v>3</v>
      </c>
    </row>
    <row r="10" spans="1:13" x14ac:dyDescent="0.25">
      <c r="A10" s="3" t="s">
        <v>39</v>
      </c>
      <c r="B10" s="3" t="s">
        <v>24</v>
      </c>
      <c r="C10" s="3" t="s">
        <v>28</v>
      </c>
      <c r="D10" s="3" t="s">
        <v>22</v>
      </c>
      <c r="E10" s="3">
        <v>9</v>
      </c>
      <c r="H10" s="7" t="s">
        <v>24</v>
      </c>
      <c r="M10">
        <f>COUNTIF(D4:D12,H11)</f>
        <v>3</v>
      </c>
    </row>
    <row r="11" spans="1:13" x14ac:dyDescent="0.25">
      <c r="A11" s="3" t="s">
        <v>40</v>
      </c>
      <c r="B11" s="3" t="s">
        <v>24</v>
      </c>
      <c r="C11" s="3" t="s">
        <v>28</v>
      </c>
      <c r="D11" s="3" t="s">
        <v>22</v>
      </c>
      <c r="E11" s="3">
        <v>90</v>
      </c>
      <c r="H11" s="7" t="s">
        <v>26</v>
      </c>
    </row>
    <row r="12" spans="1:13" x14ac:dyDescent="0.25">
      <c r="A12" s="3" t="s">
        <v>41</v>
      </c>
      <c r="B12" s="3" t="s">
        <v>25</v>
      </c>
      <c r="C12" s="3" t="s">
        <v>28</v>
      </c>
      <c r="D12" s="3" t="s">
        <v>22</v>
      </c>
      <c r="E12" s="3">
        <v>8</v>
      </c>
    </row>
    <row r="15" spans="1:13" x14ac:dyDescent="0.25">
      <c r="H15" t="s">
        <v>42</v>
      </c>
    </row>
    <row r="16" spans="1:13" x14ac:dyDescent="0.25">
      <c r="H16" s="6" t="s">
        <v>24</v>
      </c>
      <c r="I16" s="6" t="s">
        <v>21</v>
      </c>
      <c r="M16">
        <f>COUNTIFS(B4:B12,H16,C4:C12,I16)</f>
        <v>1</v>
      </c>
    </row>
    <row r="17" spans="8:13" x14ac:dyDescent="0.25">
      <c r="H17" s="6" t="s">
        <v>21</v>
      </c>
      <c r="I17" s="6" t="s">
        <v>26</v>
      </c>
      <c r="M17">
        <f>COUNTIFS(C4:C12,H17,D4:D12,I17)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B261E-4007-4637-BBE1-0F298A6F13A8}">
  <dimension ref="B3:K17"/>
  <sheetViews>
    <sheetView tabSelected="1" workbookViewId="0">
      <selection activeCell="E17" sqref="E17"/>
    </sheetView>
  </sheetViews>
  <sheetFormatPr defaultRowHeight="15" x14ac:dyDescent="0.25"/>
  <cols>
    <col min="2" max="2" width="12" bestFit="1" customWidth="1"/>
    <col min="3" max="3" width="7.7109375" bestFit="1" customWidth="1"/>
    <col min="4" max="4" width="10.7109375" bestFit="1" customWidth="1"/>
    <col min="5" max="5" width="13.28515625" bestFit="1" customWidth="1"/>
    <col min="10" max="10" width="10.7109375" bestFit="1" customWidth="1"/>
  </cols>
  <sheetData>
    <row r="3" spans="2:11" x14ac:dyDescent="0.25">
      <c r="B3" s="1" t="s">
        <v>0</v>
      </c>
      <c r="C3" s="1" t="s">
        <v>43</v>
      </c>
      <c r="D3" s="1" t="s">
        <v>44</v>
      </c>
      <c r="E3" s="1" t="s">
        <v>1</v>
      </c>
      <c r="F3" s="1" t="s">
        <v>2</v>
      </c>
      <c r="I3" s="8" t="s">
        <v>45</v>
      </c>
    </row>
    <row r="4" spans="2:11" x14ac:dyDescent="0.25">
      <c r="B4" s="2" t="s">
        <v>3</v>
      </c>
      <c r="C4" s="2" t="s">
        <v>46</v>
      </c>
      <c r="D4" s="2" t="s">
        <v>47</v>
      </c>
      <c r="E4" s="2" t="s">
        <v>4</v>
      </c>
      <c r="F4" s="2">
        <v>80</v>
      </c>
      <c r="I4" s="6" t="s">
        <v>48</v>
      </c>
      <c r="K4">
        <f>AVERAGE(F4:F13)</f>
        <v>64.5</v>
      </c>
    </row>
    <row r="5" spans="2:11" x14ac:dyDescent="0.25">
      <c r="B5" s="2" t="s">
        <v>5</v>
      </c>
      <c r="C5" s="2" t="s">
        <v>46</v>
      </c>
      <c r="D5" s="2" t="s">
        <v>47</v>
      </c>
      <c r="E5" s="2" t="s">
        <v>4</v>
      </c>
      <c r="F5" s="2">
        <v>40</v>
      </c>
    </row>
    <row r="6" spans="2:11" x14ac:dyDescent="0.25">
      <c r="B6" s="2" t="s">
        <v>6</v>
      </c>
      <c r="C6" s="2" t="s">
        <v>49</v>
      </c>
      <c r="D6" s="2" t="s">
        <v>47</v>
      </c>
      <c r="E6" s="2" t="s">
        <v>4</v>
      </c>
      <c r="F6" s="2">
        <v>50</v>
      </c>
    </row>
    <row r="7" spans="2:11" x14ac:dyDescent="0.25">
      <c r="B7" s="2" t="s">
        <v>7</v>
      </c>
      <c r="C7" s="2" t="s">
        <v>46</v>
      </c>
      <c r="D7" s="2" t="s">
        <v>47</v>
      </c>
      <c r="E7" s="2" t="s">
        <v>8</v>
      </c>
      <c r="F7" s="2">
        <v>100</v>
      </c>
    </row>
    <row r="8" spans="2:11" x14ac:dyDescent="0.25">
      <c r="B8" s="2" t="s">
        <v>9</v>
      </c>
      <c r="C8" s="2" t="s">
        <v>49</v>
      </c>
      <c r="D8" s="2" t="s">
        <v>47</v>
      </c>
      <c r="E8" s="2" t="s">
        <v>8</v>
      </c>
      <c r="F8" s="2">
        <v>80</v>
      </c>
    </row>
    <row r="9" spans="2:11" x14ac:dyDescent="0.25">
      <c r="B9" s="2" t="s">
        <v>10</v>
      </c>
      <c r="C9" s="2" t="s">
        <v>49</v>
      </c>
      <c r="D9" s="2" t="s">
        <v>47</v>
      </c>
      <c r="E9" s="2" t="s">
        <v>8</v>
      </c>
      <c r="F9" s="2">
        <v>90</v>
      </c>
      <c r="I9" t="s">
        <v>50</v>
      </c>
    </row>
    <row r="10" spans="2:11" x14ac:dyDescent="0.25">
      <c r="B10" s="2" t="s">
        <v>11</v>
      </c>
      <c r="C10" s="2" t="s">
        <v>49</v>
      </c>
      <c r="D10" s="2" t="s">
        <v>51</v>
      </c>
      <c r="E10" s="2" t="s">
        <v>8</v>
      </c>
      <c r="F10" s="2">
        <v>70</v>
      </c>
      <c r="I10" s="7" t="s">
        <v>47</v>
      </c>
      <c r="K10">
        <f>AVERAGEIF(D4:D13,I10,F4:F13)</f>
        <v>73.333333333333329</v>
      </c>
    </row>
    <row r="11" spans="2:11" x14ac:dyDescent="0.25">
      <c r="B11" s="2" t="s">
        <v>12</v>
      </c>
      <c r="C11" s="2" t="s">
        <v>46</v>
      </c>
      <c r="D11" s="2" t="s">
        <v>51</v>
      </c>
      <c r="E11" s="2" t="s">
        <v>4</v>
      </c>
      <c r="F11" s="2">
        <v>45</v>
      </c>
      <c r="I11" s="7" t="s">
        <v>46</v>
      </c>
      <c r="K11">
        <f>AVERAGEIF(C4:C13,I11,F4:F13)</f>
        <v>65</v>
      </c>
    </row>
    <row r="12" spans="2:11" x14ac:dyDescent="0.25">
      <c r="B12" s="2" t="s">
        <v>13</v>
      </c>
      <c r="C12" s="2" t="s">
        <v>46</v>
      </c>
      <c r="D12" s="2" t="s">
        <v>51</v>
      </c>
      <c r="E12" s="2" t="s">
        <v>4</v>
      </c>
      <c r="F12" s="2">
        <v>60</v>
      </c>
    </row>
    <row r="13" spans="2:11" x14ac:dyDescent="0.25">
      <c r="B13" s="2" t="s">
        <v>14</v>
      </c>
      <c r="C13" s="2" t="s">
        <v>49</v>
      </c>
      <c r="D13" s="2" t="s">
        <v>51</v>
      </c>
      <c r="E13" s="2" t="s">
        <v>4</v>
      </c>
      <c r="F13" s="2">
        <v>30</v>
      </c>
    </row>
    <row r="15" spans="2:11" x14ac:dyDescent="0.25">
      <c r="I15" t="s">
        <v>52</v>
      </c>
    </row>
    <row r="16" spans="2:11" x14ac:dyDescent="0.25">
      <c r="I16" s="6" t="s">
        <v>46</v>
      </c>
      <c r="J16" s="6" t="s">
        <v>47</v>
      </c>
      <c r="K16">
        <f>AVERAGEIFS($F$4:$F$13,C4:C13,I16,D4:D13,J16)</f>
        <v>73.333333333333329</v>
      </c>
    </row>
    <row r="17" spans="9:11" x14ac:dyDescent="0.25">
      <c r="I17" s="6" t="s">
        <v>49</v>
      </c>
      <c r="J17" s="6" t="s">
        <v>51</v>
      </c>
      <c r="K17">
        <f>AVERAGEIFS(F4:F13,C4:C13,I17,D4:D13,J17)</f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SUM, SUMIF, SUMIFS</vt:lpstr>
      <vt:lpstr>COUNT, COUNTA, COUNTIF, COUNTIF</vt:lpstr>
      <vt:lpstr>AVERAGE, AVERAGEIF, AVERAGEIFS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2025-11-02T13:38:28Z</dcterms:created>
  <dcterms:modified xsi:type="dcterms:W3CDTF">2025-11-02T13:42:58Z</dcterms:modified>
</cp:coreProperties>
</file>